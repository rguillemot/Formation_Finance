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96" windowWidth="12288" windowHeight="9360"/>
  </bookViews>
  <sheets>
    <sheet name="Risk Reversal" sheetId="1" r:id="rId1"/>
    <sheet name="Risk Reversal - 25" sheetId="4" r:id="rId2"/>
  </sheets>
  <functionGroups/>
  <calcPr calcId="124519"/>
</workbook>
</file>

<file path=xl/calcChain.xml><?xml version="1.0" encoding="utf-8"?>
<calcChain xmlns="http://schemas.openxmlformats.org/spreadsheetml/2006/main">
  <c r="E4" i="4"/>
  <c r="E3"/>
  <c r="K4" l="1"/>
  <c r="K5" l="1"/>
  <c r="K3"/>
  <c r="G11"/>
  <c r="G10"/>
  <c r="C4" i="1"/>
  <c r="C3"/>
  <c r="B3" i="4"/>
  <c r="B4"/>
  <c r="G12" l="1"/>
  <c r="J4" s="1"/>
  <c r="C4"/>
  <c r="J5" s="1"/>
  <c r="C3"/>
  <c r="J3" s="1"/>
  <c r="G10" i="1"/>
  <c r="G9"/>
  <c r="B8" i="4"/>
  <c r="D8"/>
  <c r="C7"/>
  <c r="C8"/>
  <c r="B7"/>
  <c r="D7"/>
  <c r="G11" i="1" l="1"/>
  <c r="B9" i="4"/>
  <c r="C9"/>
  <c r="D9"/>
</calcChain>
</file>

<file path=xl/sharedStrings.xml><?xml version="1.0" encoding="utf-8"?>
<sst xmlns="http://schemas.openxmlformats.org/spreadsheetml/2006/main" count="40" uniqueCount="21">
  <si>
    <t>S</t>
  </si>
  <si>
    <t>rUSD</t>
  </si>
  <si>
    <t>rEUR</t>
  </si>
  <si>
    <t>m</t>
  </si>
  <si>
    <t>T</t>
  </si>
  <si>
    <t>vol</t>
  </si>
  <si>
    <t>DFEUR</t>
  </si>
  <si>
    <t>DFUSD</t>
  </si>
  <si>
    <t>F</t>
  </si>
  <si>
    <t>NEUR</t>
  </si>
  <si>
    <t>NUSDMax</t>
  </si>
  <si>
    <t>NUSDMin</t>
  </si>
  <si>
    <t>Call</t>
  </si>
  <si>
    <t>Put</t>
  </si>
  <si>
    <t>K</t>
  </si>
  <si>
    <t>TOTAL</t>
  </si>
  <si>
    <t>PNL USD</t>
  </si>
  <si>
    <t>FX Delta</t>
  </si>
  <si>
    <t>FX Vega</t>
  </si>
  <si>
    <t>RR</t>
  </si>
  <si>
    <t>BF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</si>
</sst>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0" fontId="0" fillId="0" borderId="0" xfId="2" applyNumberFormat="1" applyFont="1"/>
    <xf numFmtId="165" fontId="0" fillId="0" borderId="0" xfId="0" applyNumberFormat="1"/>
    <xf numFmtId="43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0.24018523364337768"/>
          <c:y val="4.0929038799727493E-2"/>
          <c:w val="0.64441959860757603"/>
          <c:h val="0.75751728217071468"/>
        </c:manualLayout>
      </c:layout>
      <c:scatterChart>
        <c:scatterStyle val="smoothMarker"/>
        <c:ser>
          <c:idx val="0"/>
          <c:order val="0"/>
          <c:xVal>
            <c:numRef>
              <c:f>'Risk Reversal - 25'!$J$3:$J$5</c:f>
              <c:numCache>
                <c:formatCode>0.0000</c:formatCode>
                <c:ptCount val="3"/>
                <c:pt idx="0">
                  <c:v>1.5147840053474284</c:v>
                </c:pt>
                <c:pt idx="1">
                  <c:v>1.3875117942185746</c:v>
                </c:pt>
                <c:pt idx="2">
                  <c:v>1.2893668395292908</c:v>
                </c:pt>
              </c:numCache>
            </c:numRef>
          </c:xVal>
          <c:yVal>
            <c:numRef>
              <c:f>'Risk Reversal - 25'!$K$3:$K$5</c:f>
              <c:numCache>
                <c:formatCode>0%</c:formatCode>
                <c:ptCount val="3"/>
                <c:pt idx="0" formatCode="0.00%">
                  <c:v>0.12</c:v>
                </c:pt>
                <c:pt idx="1">
                  <c:v>0.12</c:v>
                </c:pt>
                <c:pt idx="2" formatCode="0.00%">
                  <c:v>0.12</c:v>
                </c:pt>
              </c:numCache>
            </c:numRef>
          </c:yVal>
          <c:smooth val="1"/>
        </c:ser>
        <c:axId val="76736768"/>
        <c:axId val="79880576"/>
      </c:scatterChart>
      <c:valAx>
        <c:axId val="76736768"/>
        <c:scaling>
          <c:orientation val="minMax"/>
        </c:scaling>
        <c:axPos val="b"/>
        <c:numFmt formatCode="0.0000" sourceLinked="1"/>
        <c:tickLblPos val="nextTo"/>
        <c:crossAx val="79880576"/>
        <c:crosses val="autoZero"/>
        <c:crossBetween val="midCat"/>
      </c:valAx>
      <c:valAx>
        <c:axId val="79880576"/>
        <c:scaling>
          <c:orientation val="minMax"/>
          <c:max val="0.16"/>
          <c:min val="0.1"/>
        </c:scaling>
        <c:axPos val="l"/>
        <c:majorGridlines/>
        <c:numFmt formatCode="0.00%" sourceLinked="1"/>
        <c:tickLblPos val="nextTo"/>
        <c:crossAx val="76736768"/>
        <c:crosses val="autoZero"/>
        <c:crossBetween val="midCat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715458</xdr:colOff>
      <xdr:row>10</xdr:row>
      <xdr:rowOff>74930</xdr:rowOff>
    </xdr:from>
    <xdr:to>
      <xdr:col>8</xdr:col>
      <xdr:colOff>189678</xdr:colOff>
      <xdr:row>20</xdr:row>
      <xdr:rowOff>63500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G13"/>
  <sheetViews>
    <sheetView tabSelected="1" zoomScale="170" zoomScaleNormal="170" workbookViewId="0">
      <selection activeCell="H7" sqref="H7"/>
    </sheetView>
  </sheetViews>
  <sheetFormatPr baseColWidth="10" defaultRowHeight="14.4"/>
  <cols>
    <col min="2" max="2" width="15.44140625" bestFit="1" customWidth="1"/>
  </cols>
  <sheetData>
    <row r="2" spans="1:7">
      <c r="A2" s="1" t="s">
        <v>9</v>
      </c>
      <c r="B2" s="5">
        <v>100000000</v>
      </c>
      <c r="C2" s="1" t="s">
        <v>14</v>
      </c>
      <c r="D2" s="1"/>
      <c r="F2" s="1" t="s">
        <v>0</v>
      </c>
      <c r="G2">
        <v>1.08785</v>
      </c>
    </row>
    <row r="3" spans="1:7">
      <c r="A3" s="1" t="s">
        <v>10</v>
      </c>
      <c r="B3" s="5">
        <v>119000000</v>
      </c>
      <c r="C3" s="4">
        <f>B3/B2</f>
        <v>1.19</v>
      </c>
      <c r="F3" s="1" t="s">
        <v>1</v>
      </c>
      <c r="G3" s="2">
        <v>4.4999999999999997E-3</v>
      </c>
    </row>
    <row r="4" spans="1:7">
      <c r="A4" s="1" t="s">
        <v>11</v>
      </c>
      <c r="B4" s="5">
        <v>99000000</v>
      </c>
      <c r="C4" s="4">
        <f>B4/B2</f>
        <v>0.99</v>
      </c>
      <c r="F4" s="1" t="s">
        <v>2</v>
      </c>
      <c r="G4" s="2">
        <v>1E-4</v>
      </c>
    </row>
    <row r="5" spans="1:7">
      <c r="F5" s="1" t="s">
        <v>3</v>
      </c>
      <c r="G5" s="2">
        <v>2.7000000000000001E-3</v>
      </c>
    </row>
    <row r="6" spans="1:7">
      <c r="B6" s="1" t="s">
        <v>16</v>
      </c>
      <c r="C6" s="1" t="s">
        <v>17</v>
      </c>
      <c r="D6" s="1" t="s">
        <v>18</v>
      </c>
      <c r="F6" s="1" t="s">
        <v>4</v>
      </c>
      <c r="G6" s="2">
        <v>1</v>
      </c>
    </row>
    <row r="7" spans="1:7">
      <c r="A7" s="1" t="s">
        <v>12</v>
      </c>
      <c r="B7" s="6"/>
      <c r="C7" s="7"/>
      <c r="D7" s="7"/>
      <c r="F7" s="1" t="s">
        <v>5</v>
      </c>
      <c r="G7" s="3">
        <v>0.12</v>
      </c>
    </row>
    <row r="8" spans="1:7">
      <c r="A8" s="1" t="s">
        <v>13</v>
      </c>
      <c r="B8" s="6"/>
      <c r="C8" s="7"/>
      <c r="D8" s="7"/>
    </row>
    <row r="9" spans="1:7">
      <c r="A9" s="1" t="s">
        <v>15</v>
      </c>
      <c r="B9" s="6"/>
      <c r="C9" s="2"/>
      <c r="D9" s="2"/>
      <c r="F9" s="1" t="s">
        <v>6</v>
      </c>
      <c r="G9" s="4">
        <f>EXP(-(G4-G5)*G6)</f>
        <v>1.0026033829312384</v>
      </c>
    </row>
    <row r="10" spans="1:7">
      <c r="B10" s="5"/>
      <c r="F10" s="1" t="s">
        <v>7</v>
      </c>
      <c r="G10" s="4">
        <f>EXP(-G3*G6)</f>
        <v>0.99551010982957056</v>
      </c>
    </row>
    <row r="11" spans="1:7">
      <c r="B11" s="8"/>
      <c r="F11" s="1" t="s">
        <v>8</v>
      </c>
      <c r="G11" s="4">
        <f>G9/G10*G2</f>
        <v>1.0956012192668445</v>
      </c>
    </row>
    <row r="12" spans="1:7">
      <c r="B12" s="9"/>
    </row>
    <row r="13" spans="1:7">
      <c r="F13" s="1"/>
    </row>
  </sheetData>
  <dataConsolidate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2:K13"/>
  <sheetViews>
    <sheetView zoomScale="170" zoomScaleNormal="170" workbookViewId="0">
      <selection activeCell="B3" sqref="B3:B4"/>
    </sheetView>
  </sheetViews>
  <sheetFormatPr baseColWidth="10" defaultRowHeight="14.4"/>
  <cols>
    <col min="2" max="2" width="15.44140625" bestFit="1" customWidth="1"/>
  </cols>
  <sheetData>
    <row r="2" spans="1:11">
      <c r="A2" s="1" t="s">
        <v>9</v>
      </c>
      <c r="B2" s="5">
        <v>100000000</v>
      </c>
      <c r="C2" s="1" t="s">
        <v>14</v>
      </c>
      <c r="D2" s="1"/>
      <c r="F2" s="1" t="s">
        <v>0</v>
      </c>
      <c r="G2">
        <v>1.3889</v>
      </c>
    </row>
    <row r="3" spans="1:11">
      <c r="A3" s="1" t="s">
        <v>10</v>
      </c>
      <c r="B3" s="5">
        <f>ImpliedStrikeFromDelta(G12,D3/G10,E3,G6,1)*B2</f>
        <v>151478400.53474283</v>
      </c>
      <c r="C3" s="4">
        <f>B3/B2</f>
        <v>1.5147840053474284</v>
      </c>
      <c r="D3">
        <v>0.25</v>
      </c>
      <c r="E3" s="2">
        <f>G7+G9+G8/2</f>
        <v>0.12</v>
      </c>
      <c r="F3" s="1" t="s">
        <v>1</v>
      </c>
      <c r="G3" s="2">
        <v>3.0000000000000001E-3</v>
      </c>
      <c r="J3" s="4">
        <f>C3</f>
        <v>1.5147840053474284</v>
      </c>
      <c r="K3" s="2">
        <f>E3</f>
        <v>0.12</v>
      </c>
    </row>
    <row r="4" spans="1:11">
      <c r="A4" s="1" t="s">
        <v>11</v>
      </c>
      <c r="B4" s="5">
        <f>ImpliedStrikeFromDelta(G12,D4/G10,E4,G6,-1)*B2</f>
        <v>128936683.95292908</v>
      </c>
      <c r="C4" s="4">
        <f>B4/B2</f>
        <v>1.2893668395292908</v>
      </c>
      <c r="D4">
        <v>-0.25</v>
      </c>
      <c r="E4" s="2">
        <f>G7+G9-G8/2</f>
        <v>0.12</v>
      </c>
      <c r="F4" s="1" t="s">
        <v>2</v>
      </c>
      <c r="G4" s="2">
        <v>5.0000000000000001E-3</v>
      </c>
      <c r="J4" s="4">
        <f>G12</f>
        <v>1.3875117942185746</v>
      </c>
      <c r="K4" s="3">
        <f>G7</f>
        <v>0.12</v>
      </c>
    </row>
    <row r="5" spans="1:11">
      <c r="F5" s="1" t="s">
        <v>3</v>
      </c>
      <c r="G5" s="2">
        <v>1E-3</v>
      </c>
      <c r="J5" s="4">
        <f>C4</f>
        <v>1.2893668395292908</v>
      </c>
      <c r="K5" s="2">
        <f>E4</f>
        <v>0.12</v>
      </c>
    </row>
    <row r="6" spans="1:11">
      <c r="B6" s="1" t="s">
        <v>16</v>
      </c>
      <c r="C6" s="1" t="s">
        <v>17</v>
      </c>
      <c r="D6" s="1" t="s">
        <v>18</v>
      </c>
      <c r="F6" s="1" t="s">
        <v>4</v>
      </c>
      <c r="G6" s="2">
        <v>1</v>
      </c>
    </row>
    <row r="7" spans="1:11">
      <c r="A7" s="1" t="s">
        <v>12</v>
      </c>
      <c r="B7" s="6">
        <f>BS(G12,C3,E3,G6,1)*G11*B2</f>
        <v>2346919.5022035288</v>
      </c>
      <c r="C7" s="7">
        <f>BSDelta(G12,C3,E3,G6,1)*G10</f>
        <v>0.24999999999999969</v>
      </c>
      <c r="D7" s="7">
        <f>BSVega(G12,C3,E3,G6,1)*G10</f>
        <v>4.4009040184374145E-3</v>
      </c>
      <c r="F7" s="1" t="s">
        <v>5</v>
      </c>
      <c r="G7" s="3">
        <v>0.12</v>
      </c>
    </row>
    <row r="8" spans="1:11">
      <c r="A8" s="1" t="s">
        <v>13</v>
      </c>
      <c r="B8" s="6">
        <f>-BS(G12,C4,E4,G6,-1)*G11*B2</f>
        <v>-2647160.137932668</v>
      </c>
      <c r="C8" s="7">
        <f>-BSDelta(G12,C4,E4,G6,-1)*G10</f>
        <v>0.25</v>
      </c>
      <c r="D8" s="7">
        <f>-BSVega(G12,C4,E4,G6,-1)*G10</f>
        <v>-4.4009040184374171E-3</v>
      </c>
      <c r="F8" s="1" t="s">
        <v>19</v>
      </c>
      <c r="G8" s="3">
        <v>0</v>
      </c>
    </row>
    <row r="9" spans="1:11">
      <c r="A9" s="1" t="s">
        <v>15</v>
      </c>
      <c r="B9" s="6">
        <f>B7+B8</f>
        <v>-300240.63572913921</v>
      </c>
      <c r="C9" s="2">
        <f>C7+C8</f>
        <v>0.49999999999999967</v>
      </c>
      <c r="D9" s="2">
        <f>D7+D8</f>
        <v>0</v>
      </c>
      <c r="F9" s="1" t="s">
        <v>20</v>
      </c>
      <c r="G9" s="3">
        <v>0</v>
      </c>
    </row>
    <row r="10" spans="1:11">
      <c r="F10" s="1" t="s">
        <v>6</v>
      </c>
      <c r="G10" s="4">
        <f>EXP(-(G4-G5)*G6)</f>
        <v>0.99600798934399148</v>
      </c>
    </row>
    <row r="11" spans="1:11">
      <c r="D11" s="2"/>
      <c r="F11" s="1" t="s">
        <v>7</v>
      </c>
      <c r="G11" s="4">
        <f>EXP(-G3*G6)</f>
        <v>0.997004495503373</v>
      </c>
    </row>
    <row r="12" spans="1:11">
      <c r="F12" s="1" t="s">
        <v>8</v>
      </c>
      <c r="G12" s="4">
        <f>G10/G11*G2</f>
        <v>1.3875117942185746</v>
      </c>
    </row>
    <row r="13" spans="1:11">
      <c r="F13" s="1"/>
    </row>
  </sheetData>
  <dataConsolidate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Risk Reversal</vt:lpstr>
      <vt:lpstr>Risk Reversal - 25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2014-04-14T08:52:13Z</dcterms:created>
  <dcterms:modified xsi:type="dcterms:W3CDTF">2015-04-10T06:01:29Z</dcterms:modified>
</cp:coreProperties>
</file>