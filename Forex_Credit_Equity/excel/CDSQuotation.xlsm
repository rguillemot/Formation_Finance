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-12" yWindow="-12" windowWidth="11532" windowHeight="9684"/>
  </bookViews>
  <sheets>
    <sheet name="Exercice" sheetId="5" r:id="rId1"/>
    <sheet name="CDX NA IG 5Y Série 22" sheetId="1" r:id="rId2"/>
  </sheets>
  <functionGroups/>
  <calcPr calcId="124519"/>
</workbook>
</file>

<file path=xl/calcChain.xml><?xml version="1.0" encoding="utf-8"?>
<calcChain xmlns="http://schemas.openxmlformats.org/spreadsheetml/2006/main">
  <c r="F4" i="5"/>
  <c r="G4"/>
  <c r="B8"/>
  <c r="B9" s="1"/>
  <c r="F8"/>
  <c r="F7"/>
  <c r="F6"/>
  <c r="C8" l="1"/>
  <c r="B10"/>
  <c r="C9"/>
  <c r="C7"/>
  <c r="F9" s="1"/>
  <c r="G9" s="1"/>
  <c r="B11" l="1"/>
  <c r="C10"/>
  <c r="F15" i="1"/>
  <c r="C7"/>
  <c r="F9" s="1"/>
  <c r="B8"/>
  <c r="B9" s="1"/>
  <c r="B10" s="1"/>
  <c r="B11" s="1"/>
  <c r="B12" s="1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C28" s="1"/>
  <c r="I6" s="1"/>
  <c r="C11" i="5" l="1"/>
  <c r="B12"/>
  <c r="C12" i="1"/>
  <c r="G9"/>
  <c r="C27"/>
  <c r="C23"/>
  <c r="C19"/>
  <c r="C15"/>
  <c r="C11"/>
  <c r="C8"/>
  <c r="C25"/>
  <c r="C21"/>
  <c r="C17"/>
  <c r="C13"/>
  <c r="C9"/>
  <c r="C26"/>
  <c r="C22"/>
  <c r="C18"/>
  <c r="C14"/>
  <c r="C10"/>
  <c r="C24"/>
  <c r="C20"/>
  <c r="C16"/>
  <c r="F8"/>
  <c r="F6"/>
  <c r="F7"/>
  <c r="C12" i="5" l="1"/>
  <c r="B13"/>
  <c r="G8" i="1"/>
  <c r="G7"/>
  <c r="F11"/>
  <c r="G11" s="1"/>
  <c r="G6"/>
  <c r="F13"/>
  <c r="C13" i="5" l="1"/>
  <c r="B14"/>
  <c r="F16" i="1"/>
  <c r="G13"/>
  <c r="F14"/>
  <c r="I7" s="1"/>
  <c r="B15" i="5" l="1"/>
  <c r="C14"/>
  <c r="B16" l="1"/>
  <c r="C15"/>
  <c r="B17" l="1"/>
  <c r="C16"/>
  <c r="B18" l="1"/>
  <c r="C17"/>
  <c r="B19" l="1"/>
  <c r="C18"/>
  <c r="B20" l="1"/>
  <c r="C19"/>
  <c r="B21" l="1"/>
  <c r="C20"/>
  <c r="B22" l="1"/>
  <c r="C21"/>
  <c r="B23" l="1"/>
  <c r="C22"/>
  <c r="B24" l="1"/>
  <c r="C23"/>
  <c r="B25" l="1"/>
  <c r="C24"/>
  <c r="B26" l="1"/>
  <c r="C25"/>
  <c r="B27" l="1"/>
  <c r="C26"/>
  <c r="C27" l="1"/>
  <c r="G8" l="1"/>
  <c r="G7"/>
  <c r="F10"/>
  <c r="G6"/>
  <c r="G10" l="1"/>
</calcChain>
</file>

<file path=xl/sharedStrings.xml><?xml version="1.0" encoding="utf-8"?>
<sst xmlns="http://schemas.openxmlformats.org/spreadsheetml/2006/main" count="40" uniqueCount="23">
  <si>
    <t>AsOfDate</t>
  </si>
  <si>
    <t>R</t>
  </si>
  <si>
    <t>Rec</t>
  </si>
  <si>
    <t>C</t>
  </si>
  <si>
    <t>lambda</t>
  </si>
  <si>
    <t>Notional</t>
  </si>
  <si>
    <t>Dates</t>
  </si>
  <si>
    <t>Lag</t>
  </si>
  <si>
    <t>Protect Leg</t>
  </si>
  <si>
    <t>Premium Leg</t>
  </si>
  <si>
    <t>Accrual Leg</t>
  </si>
  <si>
    <t>Accrual</t>
  </si>
  <si>
    <t>UpFront</t>
  </si>
  <si>
    <t>CleanPrice</t>
  </si>
  <si>
    <t>Spread</t>
  </si>
  <si>
    <t>BPV Risky</t>
  </si>
  <si>
    <t>Prev Roll Date</t>
  </si>
  <si>
    <t>Next Coupon Date</t>
  </si>
  <si>
    <t>Next Roll Date</t>
  </si>
  <si>
    <t>Maturity Date</t>
  </si>
  <si>
    <t>Proba</t>
  </si>
  <si>
    <t>Approx Proba</t>
  </si>
  <si>
    <t>Approx Spread</t>
  </si>
</sst>
</file>

<file path=xl/styles.xml><?xml version="1.0" encoding="utf-8"?>
<styleSheet xmlns="http://schemas.openxmlformats.org/spreadsheetml/2006/main">
  <numFmts count="3">
    <numFmt numFmtId="43" formatCode="_-* #,##0.00\ _€_-;\-* #,##0.00\ _€_-;_-* &quot;-&quot;??\ _€_-;_-@_-"/>
    <numFmt numFmtId="164" formatCode="_-* #,##0\ _€_-;\-* #,##0\ _€_-;_-* &quot;-&quot;??\ _€_-;_-@_-"/>
    <numFmt numFmtId="165" formatCode="0.000%"/>
  </numFmts>
  <fonts count="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">
    <xf numFmtId="0" fontId="0" fillId="0" borderId="0" xfId="0"/>
    <xf numFmtId="14" fontId="0" fillId="0" borderId="0" xfId="0" applyNumberFormat="1"/>
    <xf numFmtId="0" fontId="2" fillId="0" borderId="0" xfId="0" applyFont="1"/>
    <xf numFmtId="43" fontId="0" fillId="0" borderId="0" xfId="1" applyFont="1"/>
    <xf numFmtId="43" fontId="0" fillId="0" borderId="0" xfId="1" applyNumberFormat="1" applyFont="1"/>
    <xf numFmtId="9" fontId="0" fillId="0" borderId="0" xfId="0" applyNumberFormat="1"/>
    <xf numFmtId="10" fontId="0" fillId="0" borderId="0" xfId="2" applyNumberFormat="1" applyFont="1"/>
    <xf numFmtId="164" fontId="0" fillId="0" borderId="1" xfId="1" applyNumberFormat="1" applyFont="1" applyBorder="1"/>
    <xf numFmtId="10" fontId="0" fillId="0" borderId="1" xfId="2" applyNumberFormat="1" applyFont="1" applyBorder="1"/>
    <xf numFmtId="0" fontId="0" fillId="0" borderId="1" xfId="0" applyBorder="1"/>
    <xf numFmtId="43" fontId="0" fillId="0" borderId="1" xfId="0" applyNumberFormat="1" applyBorder="1"/>
    <xf numFmtId="0" fontId="2" fillId="0" borderId="1" xfId="0" applyFont="1" applyBorder="1"/>
    <xf numFmtId="0" fontId="2" fillId="0" borderId="2" xfId="0" applyFont="1" applyFill="1" applyBorder="1"/>
    <xf numFmtId="0" fontId="2" fillId="0" borderId="1" xfId="0" applyFont="1" applyFill="1" applyBorder="1"/>
    <xf numFmtId="165" fontId="0" fillId="0" borderId="1" xfId="2" applyNumberFormat="1" applyFont="1" applyBorder="1"/>
    <xf numFmtId="10" fontId="0" fillId="0" borderId="0" xfId="0" applyNumberFormat="1"/>
  </cellXfs>
  <cellStyles count="3">
    <cellStyle name="Milliers" xfId="1" builtinId="3"/>
    <cellStyle name="Normal" xfId="0" builtinId="0"/>
    <cellStyle name="Pourcentage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2"/>
  <dimension ref="A2:I28"/>
  <sheetViews>
    <sheetView tabSelected="1" topLeftCell="B1" zoomScale="200" zoomScaleNormal="200" workbookViewId="0">
      <selection activeCell="B1" sqref="B1"/>
    </sheetView>
  </sheetViews>
  <sheetFormatPr baseColWidth="10" defaultRowHeight="14.4"/>
  <cols>
    <col min="1" max="1" width="16.109375" bestFit="1" customWidth="1"/>
    <col min="2" max="3" width="11.6640625" bestFit="1" customWidth="1"/>
    <col min="4" max="4" width="6.5546875" customWidth="1"/>
    <col min="5" max="5" width="13.44140625" bestFit="1" customWidth="1"/>
    <col min="6" max="6" width="16" bestFit="1" customWidth="1"/>
    <col min="7" max="7" width="7" bestFit="1" customWidth="1"/>
    <col min="8" max="8" width="12.5546875" bestFit="1" customWidth="1"/>
    <col min="9" max="9" width="7" bestFit="1" customWidth="1"/>
  </cols>
  <sheetData>
    <row r="2" spans="1:9">
      <c r="B2" s="2" t="s">
        <v>0</v>
      </c>
      <c r="C2" s="1">
        <v>41718</v>
      </c>
      <c r="E2" s="2" t="s">
        <v>5</v>
      </c>
      <c r="F2" s="3">
        <v>10000000</v>
      </c>
    </row>
    <row r="3" spans="1:9">
      <c r="B3" s="2" t="s">
        <v>1</v>
      </c>
      <c r="C3" s="15">
        <v>0.01</v>
      </c>
      <c r="E3" s="2" t="s">
        <v>2</v>
      </c>
      <c r="F3" s="5">
        <v>0.4</v>
      </c>
    </row>
    <row r="4" spans="1:9">
      <c r="B4" s="2" t="s">
        <v>4</v>
      </c>
      <c r="C4" s="15">
        <v>0.03</v>
      </c>
      <c r="E4" s="2" t="s">
        <v>3</v>
      </c>
      <c r="F4" s="15">
        <f>G4</f>
        <v>1.7999999999999999E-2</v>
      </c>
      <c r="G4" s="6">
        <f>C4*(1-F3)</f>
        <v>1.7999999999999999E-2</v>
      </c>
    </row>
    <row r="6" spans="1:9">
      <c r="B6" s="2" t="s">
        <v>6</v>
      </c>
      <c r="C6" s="2" t="s">
        <v>7</v>
      </c>
      <c r="E6" s="11" t="s">
        <v>8</v>
      </c>
      <c r="F6" s="7">
        <f>Protect_Leg(C8:C27,F2,F3,C3,C4)</f>
        <v>816115.34665783867</v>
      </c>
      <c r="G6" s="8">
        <f>F6/$F$2</f>
        <v>8.1611534665783872E-2</v>
      </c>
    </row>
    <row r="7" spans="1:9">
      <c r="A7" s="2" t="s">
        <v>16</v>
      </c>
      <c r="B7" s="1">
        <v>41718</v>
      </c>
      <c r="C7" s="4">
        <f>(B7-$C$2)/365</f>
        <v>0</v>
      </c>
      <c r="E7" s="11" t="s">
        <v>9</v>
      </c>
      <c r="F7" s="7">
        <f>Premium_Leg(C7:C27,F2,F4,C3,C4)</f>
        <v>812038.60575629305</v>
      </c>
      <c r="G7" s="8">
        <f>F7/$F$2</f>
        <v>8.1203860575629311E-2</v>
      </c>
    </row>
    <row r="8" spans="1:9">
      <c r="A8" s="2" t="s">
        <v>17</v>
      </c>
      <c r="B8" s="1">
        <f t="shared" ref="B8:B28" si="0">EDATE(B7,3)</f>
        <v>41810</v>
      </c>
      <c r="C8" s="4">
        <f>(B8-$C$2)/365</f>
        <v>0.25205479452054796</v>
      </c>
      <c r="E8" s="11" t="s">
        <v>10</v>
      </c>
      <c r="F8" s="7">
        <f>Accrual_Leg(C7:C27,F2,F4,C3,C4)</f>
        <v>3057.5556761593084</v>
      </c>
      <c r="G8" s="8">
        <f>F8/$F$2</f>
        <v>3.0575556761593082E-4</v>
      </c>
    </row>
    <row r="9" spans="1:9">
      <c r="A9" s="2" t="s">
        <v>18</v>
      </c>
      <c r="B9" s="1">
        <f t="shared" si="0"/>
        <v>41902</v>
      </c>
      <c r="C9" s="4">
        <f t="shared" ref="C9:C28" si="1">(B9-$C$2)/365</f>
        <v>0.50410958904109593</v>
      </c>
      <c r="E9" s="11" t="s">
        <v>11</v>
      </c>
      <c r="F9" s="7">
        <f>-C7*F4*F2</f>
        <v>0</v>
      </c>
      <c r="G9" s="8">
        <f>F9/$F$2</f>
        <v>0</v>
      </c>
    </row>
    <row r="10" spans="1:9">
      <c r="B10" s="1">
        <f t="shared" si="0"/>
        <v>41993</v>
      </c>
      <c r="C10" s="4">
        <f t="shared" si="1"/>
        <v>0.75342465753424659</v>
      </c>
      <c r="E10" s="11" t="s">
        <v>12</v>
      </c>
      <c r="F10" s="7">
        <f>F6-F7-F8</f>
        <v>1019.185225386313</v>
      </c>
      <c r="G10" s="8">
        <f>F10/$F$2</f>
        <v>1.0191852253863131E-4</v>
      </c>
    </row>
    <row r="11" spans="1:9">
      <c r="B11" s="1">
        <f t="shared" si="0"/>
        <v>42083</v>
      </c>
      <c r="C11" s="4">
        <f t="shared" si="1"/>
        <v>1</v>
      </c>
      <c r="I11" s="6"/>
    </row>
    <row r="12" spans="1:9">
      <c r="B12" s="1">
        <f t="shared" si="0"/>
        <v>42175</v>
      </c>
      <c r="C12" s="4">
        <f>(B12-$C$2)/365</f>
        <v>1.252054794520548</v>
      </c>
    </row>
    <row r="13" spans="1:9">
      <c r="B13" s="1">
        <f t="shared" si="0"/>
        <v>42267</v>
      </c>
      <c r="C13" s="4">
        <f t="shared" si="1"/>
        <v>1.5041095890410958</v>
      </c>
    </row>
    <row r="14" spans="1:9">
      <c r="B14" s="1">
        <f t="shared" si="0"/>
        <v>42358</v>
      </c>
      <c r="C14" s="4">
        <f t="shared" si="1"/>
        <v>1.7534246575342465</v>
      </c>
    </row>
    <row r="15" spans="1:9">
      <c r="B15" s="1">
        <f t="shared" si="0"/>
        <v>42449</v>
      </c>
      <c r="C15" s="4">
        <f t="shared" si="1"/>
        <v>2.0027397260273974</v>
      </c>
    </row>
    <row r="16" spans="1:9">
      <c r="B16" s="1">
        <f t="shared" si="0"/>
        <v>42541</v>
      </c>
      <c r="C16" s="4">
        <f t="shared" si="1"/>
        <v>2.2547945205479452</v>
      </c>
    </row>
    <row r="17" spans="1:3">
      <c r="B17" s="1">
        <f t="shared" si="0"/>
        <v>42633</v>
      </c>
      <c r="C17" s="4">
        <f t="shared" si="1"/>
        <v>2.506849315068493</v>
      </c>
    </row>
    <row r="18" spans="1:3">
      <c r="B18" s="1">
        <f t="shared" si="0"/>
        <v>42724</v>
      </c>
      <c r="C18" s="4">
        <f t="shared" si="1"/>
        <v>2.7561643835616438</v>
      </c>
    </row>
    <row r="19" spans="1:3">
      <c r="B19" s="1">
        <f t="shared" si="0"/>
        <v>42814</v>
      </c>
      <c r="C19" s="4">
        <f t="shared" si="1"/>
        <v>3.0027397260273974</v>
      </c>
    </row>
    <row r="20" spans="1:3">
      <c r="B20" s="1">
        <f t="shared" si="0"/>
        <v>42906</v>
      </c>
      <c r="C20" s="4">
        <f t="shared" si="1"/>
        <v>3.2547945205479452</v>
      </c>
    </row>
    <row r="21" spans="1:3">
      <c r="B21" s="1">
        <f t="shared" si="0"/>
        <v>42998</v>
      </c>
      <c r="C21" s="4">
        <f t="shared" si="1"/>
        <v>3.506849315068493</v>
      </c>
    </row>
    <row r="22" spans="1:3">
      <c r="B22" s="1">
        <f t="shared" si="0"/>
        <v>43089</v>
      </c>
      <c r="C22" s="4">
        <f t="shared" si="1"/>
        <v>3.7561643835616438</v>
      </c>
    </row>
    <row r="23" spans="1:3">
      <c r="B23" s="1">
        <f t="shared" si="0"/>
        <v>43179</v>
      </c>
      <c r="C23" s="4">
        <f t="shared" si="1"/>
        <v>4.0027397260273974</v>
      </c>
    </row>
    <row r="24" spans="1:3">
      <c r="B24" s="1">
        <f t="shared" si="0"/>
        <v>43271</v>
      </c>
      <c r="C24" s="4">
        <f t="shared" si="1"/>
        <v>4.2547945205479456</v>
      </c>
    </row>
    <row r="25" spans="1:3">
      <c r="B25" s="1">
        <f t="shared" si="0"/>
        <v>43363</v>
      </c>
      <c r="C25" s="4">
        <f t="shared" si="1"/>
        <v>4.506849315068493</v>
      </c>
    </row>
    <row r="26" spans="1:3">
      <c r="B26" s="1">
        <f t="shared" si="0"/>
        <v>43454</v>
      </c>
      <c r="C26" s="4">
        <f t="shared" si="1"/>
        <v>4.7561643835616438</v>
      </c>
    </row>
    <row r="27" spans="1:3">
      <c r="A27" s="2" t="s">
        <v>19</v>
      </c>
      <c r="B27" s="1">
        <f t="shared" si="0"/>
        <v>43544</v>
      </c>
      <c r="C27" s="4">
        <f t="shared" si="1"/>
        <v>5.0027397260273974</v>
      </c>
    </row>
    <row r="28" spans="1:3">
      <c r="B28" s="1"/>
      <c r="C28" s="4"/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1"/>
  <dimension ref="A2:I28"/>
  <sheetViews>
    <sheetView topLeftCell="B6" zoomScale="200" zoomScaleNormal="200" workbookViewId="0">
      <selection activeCell="F6" sqref="F6"/>
    </sheetView>
  </sheetViews>
  <sheetFormatPr baseColWidth="10" defaultRowHeight="14.4"/>
  <cols>
    <col min="1" max="1" width="16.109375" bestFit="1" customWidth="1"/>
    <col min="2" max="3" width="11.6640625" bestFit="1" customWidth="1"/>
    <col min="4" max="4" width="6.5546875" customWidth="1"/>
    <col min="5" max="5" width="13.44140625" bestFit="1" customWidth="1"/>
    <col min="6" max="6" width="16" bestFit="1" customWidth="1"/>
    <col min="7" max="7" width="7" bestFit="1" customWidth="1"/>
    <col min="8" max="8" width="12.5546875" bestFit="1" customWidth="1"/>
    <col min="9" max="9" width="7" bestFit="1" customWidth="1"/>
  </cols>
  <sheetData>
    <row r="2" spans="1:9">
      <c r="B2" s="2" t="s">
        <v>0</v>
      </c>
      <c r="C2" s="1">
        <v>41754</v>
      </c>
      <c r="E2" s="2" t="s">
        <v>5</v>
      </c>
      <c r="F2" s="3">
        <v>10000000</v>
      </c>
    </row>
    <row r="3" spans="1:9">
      <c r="B3" s="2" t="s">
        <v>1</v>
      </c>
      <c r="C3" s="15">
        <v>5.0000000000000001E-3</v>
      </c>
      <c r="E3" s="2" t="s">
        <v>2</v>
      </c>
      <c r="F3" s="5">
        <v>0.4</v>
      </c>
    </row>
    <row r="4" spans="1:9">
      <c r="B4" s="2" t="s">
        <v>4</v>
      </c>
      <c r="C4" s="15">
        <v>1.1159262056266137E-2</v>
      </c>
      <c r="E4" s="2" t="s">
        <v>3</v>
      </c>
      <c r="F4" s="5">
        <v>0.01</v>
      </c>
    </row>
    <row r="6" spans="1:9">
      <c r="B6" s="2" t="s">
        <v>6</v>
      </c>
      <c r="C6" s="2" t="s">
        <v>7</v>
      </c>
      <c r="E6" s="11" t="s">
        <v>8</v>
      </c>
      <c r="F6" s="7">
        <f>Protect_Leg(C8:C28,F2,F3,C3,C4)</f>
        <v>331242.78702789103</v>
      </c>
      <c r="G6" s="8">
        <f>F6/$F$2</f>
        <v>3.3124278702789105E-2</v>
      </c>
      <c r="H6" s="13" t="s">
        <v>20</v>
      </c>
      <c r="I6" s="8">
        <f>1-EXP(-C4*C28)</f>
        <v>5.5914919794334161E-2</v>
      </c>
    </row>
    <row r="7" spans="1:9">
      <c r="A7" s="2" t="s">
        <v>16</v>
      </c>
      <c r="B7" s="1">
        <v>41718</v>
      </c>
      <c r="C7" s="4">
        <f>(B7-$C$2)/365</f>
        <v>-9.8630136986301367E-2</v>
      </c>
      <c r="E7" s="11" t="s">
        <v>9</v>
      </c>
      <c r="F7" s="7">
        <f>Premium_Leg(C7:C28,F2,F4,C3,C4)</f>
        <v>503571.57357080764</v>
      </c>
      <c r="G7" s="8">
        <f>F7/$F$2</f>
        <v>5.0357157357080767E-2</v>
      </c>
      <c r="H7" s="13" t="s">
        <v>21</v>
      </c>
      <c r="I7" s="8">
        <f>1-EXP(-F14/(1-F3)*C28)</f>
        <v>5.5948716899986817E-2</v>
      </c>
    </row>
    <row r="8" spans="1:9">
      <c r="A8" s="2" t="s">
        <v>17</v>
      </c>
      <c r="B8" s="1">
        <f t="shared" ref="B8:B28" si="0">EDATE(B7,3)</f>
        <v>41810</v>
      </c>
      <c r="C8" s="4">
        <f>(B8-$C$2)/365</f>
        <v>0.15342465753424658</v>
      </c>
      <c r="E8" s="11" t="s">
        <v>10</v>
      </c>
      <c r="F8" s="7">
        <f>Accrual_Leg(C7:C28,F2,F4,C3,C4)</f>
        <v>704.09614619827448</v>
      </c>
      <c r="G8" s="8">
        <f>F8/$F$2</f>
        <v>7.0409614619827454E-5</v>
      </c>
    </row>
    <row r="9" spans="1:9">
      <c r="A9" s="2" t="s">
        <v>18</v>
      </c>
      <c r="B9" s="1">
        <f t="shared" si="0"/>
        <v>41902</v>
      </c>
      <c r="C9" s="4">
        <f t="shared" ref="C9:C28" si="1">(B9-$C$2)/365</f>
        <v>0.40547945205479452</v>
      </c>
      <c r="E9" s="11" t="s">
        <v>11</v>
      </c>
      <c r="F9" s="7">
        <f>-C7*F4*F2</f>
        <v>9863.0136986301368</v>
      </c>
      <c r="G9" s="8">
        <f>F9/$F$2</f>
        <v>9.8630136986301367E-4</v>
      </c>
    </row>
    <row r="10" spans="1:9">
      <c r="B10" s="1">
        <f t="shared" si="0"/>
        <v>41993</v>
      </c>
      <c r="C10" s="4">
        <f t="shared" si="1"/>
        <v>0.65479452054794518</v>
      </c>
      <c r="E10" s="9"/>
      <c r="F10" s="7"/>
      <c r="G10" s="9"/>
    </row>
    <row r="11" spans="1:9">
      <c r="B11" s="1">
        <f t="shared" si="0"/>
        <v>42083</v>
      </c>
      <c r="C11" s="4">
        <f t="shared" si="1"/>
        <v>0.90136986301369859</v>
      </c>
      <c r="E11" s="11" t="s">
        <v>15</v>
      </c>
      <c r="F11" s="10">
        <f>(F7+F8-F9)/F4/F2</f>
        <v>4.9441265601837578</v>
      </c>
      <c r="G11" s="8">
        <f>F11/$F$2</f>
        <v>4.9441265601837579E-7</v>
      </c>
      <c r="I11" s="6"/>
    </row>
    <row r="12" spans="1:9">
      <c r="B12" s="1">
        <f t="shared" si="0"/>
        <v>42175</v>
      </c>
      <c r="C12" s="4">
        <f>(B12-$C$2)/365</f>
        <v>1.1534246575342466</v>
      </c>
      <c r="E12" s="9"/>
      <c r="F12" s="9"/>
      <c r="G12" s="9"/>
    </row>
    <row r="13" spans="1:9">
      <c r="B13" s="1">
        <f t="shared" si="0"/>
        <v>42267</v>
      </c>
      <c r="C13" s="4">
        <f t="shared" si="1"/>
        <v>1.4054794520547946</v>
      </c>
      <c r="E13" s="11" t="s">
        <v>12</v>
      </c>
      <c r="F13" s="7">
        <f>F6-F7-F8</f>
        <v>-173032.88268911489</v>
      </c>
      <c r="G13" s="8">
        <f>F13/$F$2</f>
        <v>-1.730328826891149E-2</v>
      </c>
    </row>
    <row r="14" spans="1:9">
      <c r="B14" s="1">
        <f t="shared" si="0"/>
        <v>42358</v>
      </c>
      <c r="C14" s="4">
        <f t="shared" si="1"/>
        <v>1.6547945205479453</v>
      </c>
      <c r="E14" s="11" t="s">
        <v>14</v>
      </c>
      <c r="F14" s="14">
        <f>F6/F11/F2</f>
        <v>6.6997230551391826E-3</v>
      </c>
      <c r="G14" s="9"/>
    </row>
    <row r="15" spans="1:9">
      <c r="B15" s="1">
        <f t="shared" si="0"/>
        <v>42449</v>
      </c>
      <c r="C15" s="4">
        <f t="shared" si="1"/>
        <v>1.904109589041096</v>
      </c>
      <c r="E15" s="12" t="s">
        <v>22</v>
      </c>
      <c r="F15" s="14">
        <f>C4*(1-F3)</f>
        <v>6.6955572337596822E-3</v>
      </c>
    </row>
    <row r="16" spans="1:9">
      <c r="B16" s="1">
        <f t="shared" si="0"/>
        <v>42541</v>
      </c>
      <c r="C16" s="4">
        <f t="shared" si="1"/>
        <v>2.1561643835616437</v>
      </c>
      <c r="E16" s="11" t="s">
        <v>13</v>
      </c>
      <c r="F16" s="8">
        <f>1-(F13+F9)/F2</f>
        <v>1.0163169868990485</v>
      </c>
      <c r="G16" s="9"/>
    </row>
    <row r="17" spans="1:3">
      <c r="B17" s="1">
        <f t="shared" si="0"/>
        <v>42633</v>
      </c>
      <c r="C17" s="4">
        <f t="shared" si="1"/>
        <v>2.408219178082192</v>
      </c>
    </row>
    <row r="18" spans="1:3">
      <c r="B18" s="1">
        <f t="shared" si="0"/>
        <v>42724</v>
      </c>
      <c r="C18" s="4">
        <f t="shared" si="1"/>
        <v>2.6575342465753424</v>
      </c>
    </row>
    <row r="19" spans="1:3">
      <c r="B19" s="1">
        <f t="shared" si="0"/>
        <v>42814</v>
      </c>
      <c r="C19" s="4">
        <f t="shared" si="1"/>
        <v>2.904109589041096</v>
      </c>
    </row>
    <row r="20" spans="1:3">
      <c r="B20" s="1">
        <f t="shared" si="0"/>
        <v>42906</v>
      </c>
      <c r="C20" s="4">
        <f t="shared" si="1"/>
        <v>3.1561643835616437</v>
      </c>
    </row>
    <row r="21" spans="1:3">
      <c r="B21" s="1">
        <f t="shared" si="0"/>
        <v>42998</v>
      </c>
      <c r="C21" s="4">
        <f t="shared" si="1"/>
        <v>3.408219178082192</v>
      </c>
    </row>
    <row r="22" spans="1:3">
      <c r="B22" s="1">
        <f t="shared" si="0"/>
        <v>43089</v>
      </c>
      <c r="C22" s="4">
        <f t="shared" si="1"/>
        <v>3.6575342465753424</v>
      </c>
    </row>
    <row r="23" spans="1:3">
      <c r="B23" s="1">
        <f t="shared" si="0"/>
        <v>43179</v>
      </c>
      <c r="C23" s="4">
        <f t="shared" si="1"/>
        <v>3.904109589041096</v>
      </c>
    </row>
    <row r="24" spans="1:3">
      <c r="B24" s="1">
        <f t="shared" si="0"/>
        <v>43271</v>
      </c>
      <c r="C24" s="4">
        <f t="shared" si="1"/>
        <v>4.1561643835616442</v>
      </c>
    </row>
    <row r="25" spans="1:3">
      <c r="B25" s="1">
        <f t="shared" si="0"/>
        <v>43363</v>
      </c>
      <c r="C25" s="4">
        <f t="shared" si="1"/>
        <v>4.4082191780821915</v>
      </c>
    </row>
    <row r="26" spans="1:3">
      <c r="B26" s="1">
        <f t="shared" si="0"/>
        <v>43454</v>
      </c>
      <c r="C26" s="4">
        <f t="shared" si="1"/>
        <v>4.6575342465753424</v>
      </c>
    </row>
    <row r="27" spans="1:3">
      <c r="B27" s="1">
        <f t="shared" si="0"/>
        <v>43544</v>
      </c>
      <c r="C27" s="4">
        <f t="shared" si="1"/>
        <v>4.904109589041096</v>
      </c>
    </row>
    <row r="28" spans="1:3">
      <c r="A28" s="2" t="s">
        <v>19</v>
      </c>
      <c r="B28" s="1">
        <f t="shared" si="0"/>
        <v>43636</v>
      </c>
      <c r="C28" s="4">
        <f t="shared" si="1"/>
        <v>5.1561643835616442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Exercice</vt:lpstr>
      <vt:lpstr>CDX NA IG 5Y Série 22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2014-04-18T15:37:28Z</dcterms:created>
  <dcterms:modified xsi:type="dcterms:W3CDTF">2014-04-29T09:40:55Z</dcterms:modified>
</cp:coreProperties>
</file>