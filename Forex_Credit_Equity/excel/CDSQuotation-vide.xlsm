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14904" windowHeight="6204"/>
  </bookViews>
  <sheets>
    <sheet name="Exercice" sheetId="5" r:id="rId1"/>
    <sheet name="CDX NA IG 5Y Série 22" sheetId="1" r:id="rId2"/>
  </sheets>
  <functionGroups/>
  <calcPr calcId="124519"/>
</workbook>
</file>

<file path=xl/calcChain.xml><?xml version="1.0" encoding="utf-8"?>
<calcChain xmlns="http://schemas.openxmlformats.org/spreadsheetml/2006/main">
  <c r="B8" i="5"/>
  <c r="B9" s="1"/>
  <c r="F8"/>
  <c r="F7"/>
  <c r="F6"/>
  <c r="F9" l="1"/>
  <c r="C8"/>
  <c r="B10"/>
  <c r="C9"/>
  <c r="C7"/>
  <c r="B11" l="1"/>
  <c r="C10"/>
  <c r="C7" i="1"/>
  <c r="F9" s="1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C11" i="5" l="1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8"/>
  <c r="F6"/>
  <c r="F7"/>
  <c r="C12" i="5" l="1"/>
  <c r="B13"/>
  <c r="G8" i="1"/>
  <c r="G7"/>
  <c r="G11"/>
  <c r="G6"/>
  <c r="C13" i="5" l="1"/>
  <c r="B14"/>
  <c r="G13" i="1"/>
  <c r="B15" i="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C27" l="1"/>
  <c r="G8" l="1"/>
  <c r="G7"/>
  <c r="G6"/>
  <c r="G9" l="1"/>
</calcChain>
</file>

<file path=xl/sharedStrings.xml><?xml version="1.0" encoding="utf-8"?>
<sst xmlns="http://schemas.openxmlformats.org/spreadsheetml/2006/main" count="39" uniqueCount="25">
  <si>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</si>
  <si>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</si>
  <si>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</si>
  <si>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</si>
  <si>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</si>
  <si>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</si>
  <si>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</si>
  <si>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</si>
  <si>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</si>
  <si>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</si>
  <si>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</si>
  <si>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</si>
  <si>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</si>
  <si>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</si>
  <si>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</si>
  <si>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</si>
  <si>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</si>
  <si>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</si>
  <si>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</si>
  <si>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</si>
  <si>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</si>
  <si>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</si>
  <si>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</si>
  <si>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PV</t>
  </si>
  <si>
    <t>S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</si>
</sst>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tabSelected="1" workbookViewId="0">
      <selection activeCell="G7" sqref="G7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41718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5">
        <v>0.04</v>
      </c>
      <c r="E4" s="2" t="s">
        <v>24</v>
      </c>
      <c r="F4" s="15">
        <v>1.7999999999999999E-2</v>
      </c>
    </row>
    <row r="6" spans="1:9">
      <c r="B6" s="2" t="s">
        <v>6</v>
      </c>
      <c r="C6" s="2" t="s">
        <v>7</v>
      </c>
      <c r="E6" s="11" t="s">
        <v>8</v>
      </c>
      <c r="F6" s="7">
        <f>Protect_Leg(C7:C27,F2,F3,C3,C4)</f>
        <v>1062268.2943704543</v>
      </c>
      <c r="G6" s="8">
        <f>F6/$F$2</f>
        <v>0.10622682943704542</v>
      </c>
    </row>
    <row r="7" spans="1:9">
      <c r="A7" s="2" t="s">
        <v>16</v>
      </c>
      <c r="B7" s="1">
        <v>41718</v>
      </c>
      <c r="C7" s="4">
        <f>(B7-$C$2)/365</f>
        <v>0</v>
      </c>
      <c r="E7" s="11" t="s">
        <v>9</v>
      </c>
      <c r="F7" s="7">
        <f>Premium_Leg(C7:C27,F2,F4,C3,C4)</f>
        <v>791728.46428816847</v>
      </c>
      <c r="G7" s="8">
        <f>F7/$F$2</f>
        <v>7.9172846428816848E-2</v>
      </c>
    </row>
    <row r="8" spans="1:9">
      <c r="A8" s="2" t="s">
        <v>17</v>
      </c>
      <c r="B8" s="1">
        <f t="shared" ref="B8:B27" si="0">EDATE(B7,3)</f>
        <v>41810</v>
      </c>
      <c r="C8" s="4">
        <f>(B8-$C$2)/365</f>
        <v>0.25205479452054796</v>
      </c>
      <c r="E8" s="11" t="s">
        <v>10</v>
      </c>
      <c r="F8" s="7">
        <f>Accrual_Leg(C7:C27,F2,F4,C3,C4)</f>
        <v>3978.2051917378494</v>
      </c>
      <c r="G8" s="8">
        <f>F8/$F$2</f>
        <v>3.9782051917378492E-4</v>
      </c>
    </row>
    <row r="9" spans="1:9">
      <c r="A9" s="2" t="s">
        <v>18</v>
      </c>
      <c r="B9" s="1">
        <f t="shared" si="0"/>
        <v>41902</v>
      </c>
      <c r="C9" s="4">
        <f t="shared" ref="C9:C27" si="1">(B9-$C$2)/365</f>
        <v>0.50410958904109593</v>
      </c>
      <c r="E9" s="11" t="s">
        <v>23</v>
      </c>
      <c r="F9" s="7">
        <f>F6-F7-F8</f>
        <v>266561.62489054794</v>
      </c>
      <c r="G9" s="8">
        <f>F9/$F$2</f>
        <v>2.6656162489054794E-2</v>
      </c>
    </row>
    <row r="10" spans="1:9">
      <c r="B10" s="1">
        <f t="shared" si="0"/>
        <v>41993</v>
      </c>
      <c r="C10" s="4">
        <f t="shared" si="1"/>
        <v>0.75342465753424659</v>
      </c>
    </row>
    <row r="11" spans="1:9">
      <c r="B11" s="1">
        <f t="shared" si="0"/>
        <v>42083</v>
      </c>
      <c r="C11" s="4">
        <f t="shared" si="1"/>
        <v>1</v>
      </c>
      <c r="I11" s="6"/>
    </row>
    <row r="12" spans="1:9">
      <c r="B12" s="1">
        <f t="shared" si="0"/>
        <v>42175</v>
      </c>
      <c r="C12" s="4">
        <f>(B12-$C$2)/365</f>
        <v>1.252054794520548</v>
      </c>
    </row>
    <row r="13" spans="1:9">
      <c r="B13" s="1">
        <f t="shared" si="0"/>
        <v>42267</v>
      </c>
      <c r="C13" s="4">
        <f t="shared" si="1"/>
        <v>1.5041095890410958</v>
      </c>
    </row>
    <row r="14" spans="1:9">
      <c r="B14" s="1">
        <f t="shared" si="0"/>
        <v>42358</v>
      </c>
      <c r="C14" s="4">
        <f t="shared" si="1"/>
        <v>1.7534246575342465</v>
      </c>
    </row>
    <row r="15" spans="1:9">
      <c r="B15" s="1">
        <f t="shared" si="0"/>
        <v>42449</v>
      </c>
      <c r="C15" s="4">
        <f t="shared" si="1"/>
        <v>2.0027397260273974</v>
      </c>
    </row>
    <row r="16" spans="1:9">
      <c r="B16" s="1">
        <f t="shared" si="0"/>
        <v>42541</v>
      </c>
      <c r="C16" s="4">
        <f t="shared" si="1"/>
        <v>2.2547945205479452</v>
      </c>
    </row>
    <row r="17" spans="1:3">
      <c r="B17" s="1">
        <f t="shared" si="0"/>
        <v>42633</v>
      </c>
      <c r="C17" s="4">
        <f t="shared" si="1"/>
        <v>2.506849315068493</v>
      </c>
    </row>
    <row r="18" spans="1:3">
      <c r="B18" s="1">
        <f t="shared" si="0"/>
        <v>42724</v>
      </c>
      <c r="C18" s="4">
        <f t="shared" si="1"/>
        <v>2.7561643835616438</v>
      </c>
    </row>
    <row r="19" spans="1:3">
      <c r="B19" s="1">
        <f t="shared" si="0"/>
        <v>42814</v>
      </c>
      <c r="C19" s="4">
        <f t="shared" si="1"/>
        <v>3.0027397260273974</v>
      </c>
    </row>
    <row r="20" spans="1:3">
      <c r="B20" s="1">
        <f t="shared" si="0"/>
        <v>42906</v>
      </c>
      <c r="C20" s="4">
        <f t="shared" si="1"/>
        <v>3.2547945205479452</v>
      </c>
    </row>
    <row r="21" spans="1:3">
      <c r="B21" s="1">
        <f t="shared" si="0"/>
        <v>42998</v>
      </c>
      <c r="C21" s="4">
        <f t="shared" si="1"/>
        <v>3.506849315068493</v>
      </c>
    </row>
    <row r="22" spans="1:3">
      <c r="B22" s="1">
        <f t="shared" si="0"/>
        <v>43089</v>
      </c>
      <c r="C22" s="4">
        <f t="shared" si="1"/>
        <v>3.7561643835616438</v>
      </c>
    </row>
    <row r="23" spans="1:3">
      <c r="B23" s="1">
        <f t="shared" si="0"/>
        <v>43179</v>
      </c>
      <c r="C23" s="4">
        <f t="shared" si="1"/>
        <v>4.0027397260273974</v>
      </c>
    </row>
    <row r="24" spans="1:3">
      <c r="B24" s="1">
        <f t="shared" si="0"/>
        <v>43271</v>
      </c>
      <c r="C24" s="4">
        <f t="shared" si="1"/>
        <v>4.2547945205479456</v>
      </c>
    </row>
    <row r="25" spans="1:3">
      <c r="B25" s="1">
        <f t="shared" si="0"/>
        <v>43363</v>
      </c>
      <c r="C25" s="4">
        <f t="shared" si="1"/>
        <v>4.506849315068493</v>
      </c>
    </row>
    <row r="26" spans="1:3">
      <c r="B26" s="1">
        <f t="shared" si="0"/>
        <v>43454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43544</v>
      </c>
      <c r="C27" s="4">
        <f t="shared" si="1"/>
        <v>5.0027397260273974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1" zoomScale="200" zoomScaleNormal="200" workbookViewId="0">
      <selection activeCell="F1" sqref="F1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41754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5">
        <v>0.03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849182.02955101151</v>
      </c>
      <c r="G6" s="8">
        <f>F6/$F$2</f>
        <v>8.4918202955101149E-2</v>
      </c>
      <c r="H6" s="13" t="s">
        <v>20</v>
      </c>
      <c r="I6" s="8"/>
    </row>
    <row r="7" spans="1:9">
      <c r="A7" s="2" t="s">
        <v>16</v>
      </c>
      <c r="B7" s="1">
        <v>41718</v>
      </c>
      <c r="C7" s="4">
        <f>(B7-$C$2)/365</f>
        <v>-9.8630136986301367E-2</v>
      </c>
      <c r="E7" s="11" t="s">
        <v>9</v>
      </c>
      <c r="F7" s="7">
        <f>Premium_Leg(C7:C28,F2,F4,C3,C4)</f>
        <v>479541.51945788605</v>
      </c>
      <c r="G7" s="8">
        <f>F7/$F$2</f>
        <v>4.7954151945788608E-2</v>
      </c>
      <c r="H7" s="13" t="s">
        <v>21</v>
      </c>
      <c r="I7" s="8"/>
    </row>
    <row r="8" spans="1:9">
      <c r="A8" s="2" t="s">
        <v>17</v>
      </c>
      <c r="B8" s="1">
        <f t="shared" ref="B8:B28" si="0">EDATE(B7,3)</f>
        <v>41810</v>
      </c>
      <c r="C8" s="4">
        <f>(B8-$C$2)/365</f>
        <v>0.15342465753424658</v>
      </c>
      <c r="E8" s="11" t="s">
        <v>10</v>
      </c>
      <c r="F8" s="7">
        <f>Accrual_Leg(C7:C28,F2,F4,C3,C4)</f>
        <v>1805.4273202268805</v>
      </c>
      <c r="G8" s="8">
        <f>F8/$F$2</f>
        <v>1.8054273202268805E-4</v>
      </c>
    </row>
    <row r="9" spans="1:9">
      <c r="A9" s="2" t="s">
        <v>18</v>
      </c>
      <c r="B9" s="1">
        <f t="shared" si="0"/>
        <v>41902</v>
      </c>
      <c r="C9" s="4">
        <f t="shared" ref="C9:C28" si="1">(B9-$C$2)/365</f>
        <v>0.40547945205479452</v>
      </c>
      <c r="E9" s="11" t="s">
        <v>11</v>
      </c>
      <c r="F9" s="7">
        <f>-C7*F4*F2</f>
        <v>9863.0136986301368</v>
      </c>
      <c r="G9" s="8">
        <f>F9/$F$2</f>
        <v>9.8630136986301367E-4</v>
      </c>
    </row>
    <row r="10" spans="1:9">
      <c r="B10" s="1">
        <f t="shared" si="0"/>
        <v>41993</v>
      </c>
      <c r="C10" s="4">
        <f t="shared" si="1"/>
        <v>0.65479452054794518</v>
      </c>
      <c r="E10" s="9"/>
      <c r="F10" s="7"/>
      <c r="G10" s="9"/>
    </row>
    <row r="11" spans="1:9">
      <c r="B11" s="1">
        <f t="shared" si="0"/>
        <v>42083</v>
      </c>
      <c r="C11" s="4">
        <f t="shared" si="1"/>
        <v>0.90136986301369859</v>
      </c>
      <c r="E11" s="11" t="s">
        <v>15</v>
      </c>
      <c r="F11" s="10"/>
      <c r="G11" s="8">
        <f>F11/$F$2</f>
        <v>0</v>
      </c>
      <c r="I11" s="6"/>
    </row>
    <row r="12" spans="1:9">
      <c r="B12" s="1">
        <f t="shared" si="0"/>
        <v>42175</v>
      </c>
      <c r="C12" s="4">
        <f>(B12-$C$2)/365</f>
        <v>1.1534246575342466</v>
      </c>
      <c r="E12" s="9"/>
      <c r="F12" s="9"/>
      <c r="G12" s="9"/>
    </row>
    <row r="13" spans="1:9">
      <c r="B13" s="1">
        <f t="shared" si="0"/>
        <v>42267</v>
      </c>
      <c r="C13" s="4">
        <f t="shared" si="1"/>
        <v>1.4054794520547946</v>
      </c>
      <c r="E13" s="11" t="s">
        <v>12</v>
      </c>
      <c r="F13" s="7"/>
      <c r="G13" s="8">
        <f>F13/$F$2</f>
        <v>0</v>
      </c>
    </row>
    <row r="14" spans="1:9">
      <c r="B14" s="1">
        <f t="shared" si="0"/>
        <v>42358</v>
      </c>
      <c r="C14" s="4">
        <f t="shared" si="1"/>
        <v>1.6547945205479453</v>
      </c>
      <c r="E14" s="11" t="s">
        <v>14</v>
      </c>
      <c r="F14" s="14"/>
      <c r="G14" s="9"/>
    </row>
    <row r="15" spans="1:9">
      <c r="B15" s="1">
        <f t="shared" si="0"/>
        <v>42449</v>
      </c>
      <c r="C15" s="4">
        <f t="shared" si="1"/>
        <v>1.904109589041096</v>
      </c>
      <c r="E15" s="12" t="s">
        <v>22</v>
      </c>
      <c r="F15" s="14"/>
    </row>
    <row r="16" spans="1:9">
      <c r="B16" s="1">
        <f t="shared" si="0"/>
        <v>42541</v>
      </c>
      <c r="C16" s="4">
        <f t="shared" si="1"/>
        <v>2.1561643835616437</v>
      </c>
      <c r="E16" s="11" t="s">
        <v>13</v>
      </c>
      <c r="F16" s="8"/>
      <c r="G16" s="9"/>
    </row>
    <row r="17" spans="1:3">
      <c r="B17" s="1">
        <f t="shared" si="0"/>
        <v>42633</v>
      </c>
      <c r="C17" s="4">
        <f t="shared" si="1"/>
        <v>2.408219178082192</v>
      </c>
    </row>
    <row r="18" spans="1:3">
      <c r="B18" s="1">
        <f t="shared" si="0"/>
        <v>42724</v>
      </c>
      <c r="C18" s="4">
        <f t="shared" si="1"/>
        <v>2.6575342465753424</v>
      </c>
    </row>
    <row r="19" spans="1:3">
      <c r="B19" s="1">
        <f t="shared" si="0"/>
        <v>42814</v>
      </c>
      <c r="C19" s="4">
        <f t="shared" si="1"/>
        <v>2.904109589041096</v>
      </c>
    </row>
    <row r="20" spans="1:3">
      <c r="B20" s="1">
        <f t="shared" si="0"/>
        <v>42906</v>
      </c>
      <c r="C20" s="4">
        <f t="shared" si="1"/>
        <v>3.1561643835616437</v>
      </c>
    </row>
    <row r="21" spans="1:3">
      <c r="B21" s="1">
        <f t="shared" si="0"/>
        <v>42998</v>
      </c>
      <c r="C21" s="4">
        <f t="shared" si="1"/>
        <v>3.408219178082192</v>
      </c>
    </row>
    <row r="22" spans="1:3">
      <c r="B22" s="1">
        <f t="shared" si="0"/>
        <v>43089</v>
      </c>
      <c r="C22" s="4">
        <f t="shared" si="1"/>
        <v>3.6575342465753424</v>
      </c>
    </row>
    <row r="23" spans="1:3">
      <c r="B23" s="1">
        <f t="shared" si="0"/>
        <v>43179</v>
      </c>
      <c r="C23" s="4">
        <f t="shared" si="1"/>
        <v>3.904109589041096</v>
      </c>
    </row>
    <row r="24" spans="1:3">
      <c r="B24" s="1">
        <f t="shared" si="0"/>
        <v>43271</v>
      </c>
      <c r="C24" s="4">
        <f t="shared" si="1"/>
        <v>4.1561643835616442</v>
      </c>
    </row>
    <row r="25" spans="1:3">
      <c r="B25" s="1">
        <f t="shared" si="0"/>
        <v>43363</v>
      </c>
      <c r="C25" s="4">
        <f t="shared" si="1"/>
        <v>4.4082191780821915</v>
      </c>
    </row>
    <row r="26" spans="1:3">
      <c r="B26" s="1">
        <f t="shared" si="0"/>
        <v>43454</v>
      </c>
      <c r="C26" s="4">
        <f t="shared" si="1"/>
        <v>4.6575342465753424</v>
      </c>
    </row>
    <row r="27" spans="1:3">
      <c r="B27" s="1">
        <f t="shared" si="0"/>
        <v>43544</v>
      </c>
      <c r="C27" s="4">
        <f t="shared" si="1"/>
        <v>4.904109589041096</v>
      </c>
    </row>
    <row r="28" spans="1:3">
      <c r="A28" s="2" t="s">
        <v>19</v>
      </c>
      <c r="B28" s="1">
        <f t="shared" si="0"/>
        <v>43636</v>
      </c>
      <c r="C28" s="4">
        <f t="shared" si="1"/>
        <v>5.1561643835616442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</vt:lpstr>
      <vt:lpstr>CDX NA IG 5Y Série 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2014-04-29T21:11:10Z</dcterms:modified>
</cp:coreProperties>
</file>