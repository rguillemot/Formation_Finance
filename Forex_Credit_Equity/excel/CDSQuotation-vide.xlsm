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5688" activeTab="2"/>
  </bookViews>
  <sheets>
    <sheet name="Demo" sheetId="6" r:id="rId1"/>
    <sheet name="Exercice" sheetId="5" r:id="rId2"/>
    <sheet name="CDX NA IG 5Y Série 26" sheetId="1" r:id="rId3"/>
  </sheets>
  <functionGroups/>
  <calcPr calcId="124519"/>
</workbook>
</file>

<file path=xl/calcChain.xml><?xml version="1.0" encoding="utf-8"?>
<calcChain xmlns="http://schemas.openxmlformats.org/spreadsheetml/2006/main">
  <c r="E10" i="6"/>
  <c r="G10" s="1"/>
  <c r="D10"/>
  <c r="B11"/>
  <c r="D11" s="1"/>
  <c r="B8" i="5"/>
  <c r="B9" s="1"/>
  <c r="F10" i="6" l="1"/>
  <c r="E11"/>
  <c r="B12"/>
  <c r="C8" i="5"/>
  <c r="B10"/>
  <c r="C9"/>
  <c r="C7"/>
  <c r="F9" s="1"/>
  <c r="G9" s="1"/>
  <c r="F11" i="6" l="1"/>
  <c r="G11"/>
  <c r="B13"/>
  <c r="E12"/>
  <c r="D12"/>
  <c r="B11" i="5"/>
  <c r="C10"/>
  <c r="F15" i="1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F12" i="6" l="1"/>
  <c r="G12"/>
  <c r="D7" i="1"/>
  <c r="F9"/>
  <c r="G9" s="1"/>
  <c r="B14" i="6"/>
  <c r="D13"/>
  <c r="E13"/>
  <c r="G13" s="1"/>
  <c r="C11" i="5"/>
  <c r="B12"/>
  <c r="C12" i="1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6"/>
  <c r="F8"/>
  <c r="F7"/>
  <c r="F13" i="6" l="1"/>
  <c r="B15"/>
  <c r="D14"/>
  <c r="E14"/>
  <c r="G14" s="1"/>
  <c r="C12" i="5"/>
  <c r="B13"/>
  <c r="G8" i="1"/>
  <c r="G7"/>
  <c r="F11"/>
  <c r="G6"/>
  <c r="F13"/>
  <c r="F14" i="6" l="1"/>
  <c r="B16"/>
  <c r="D15"/>
  <c r="E15"/>
  <c r="C13" i="5"/>
  <c r="B14"/>
  <c r="F16" i="1"/>
  <c r="H16" s="1"/>
  <c r="G13"/>
  <c r="F14"/>
  <c r="I7" s="1"/>
  <c r="F15" i="6" l="1"/>
  <c r="G15"/>
  <c r="B17"/>
  <c r="D16"/>
  <c r="E16"/>
  <c r="G16" s="1"/>
  <c r="B15" i="5"/>
  <c r="C14"/>
  <c r="F16" i="6" l="1"/>
  <c r="B18"/>
  <c r="D17"/>
  <c r="E17"/>
  <c r="B16" i="5"/>
  <c r="C15"/>
  <c r="F17" i="6" l="1"/>
  <c r="G17"/>
  <c r="B19"/>
  <c r="D18"/>
  <c r="E18"/>
  <c r="G18" s="1"/>
  <c r="B17" i="5"/>
  <c r="C16"/>
  <c r="F18" i="6" l="1"/>
  <c r="B20"/>
  <c r="D19"/>
  <c r="E19"/>
  <c r="B18" i="5"/>
  <c r="C17"/>
  <c r="F19" i="6" l="1"/>
  <c r="G19"/>
  <c r="B21"/>
  <c r="D20"/>
  <c r="E20"/>
  <c r="B19" i="5"/>
  <c r="C18"/>
  <c r="F20" i="6" l="1"/>
  <c r="G20"/>
  <c r="B22"/>
  <c r="D21"/>
  <c r="E21"/>
  <c r="B20" i="5"/>
  <c r="C19"/>
  <c r="F21" i="6" l="1"/>
  <c r="G21"/>
  <c r="B23"/>
  <c r="D22"/>
  <c r="E22"/>
  <c r="B21" i="5"/>
  <c r="C20"/>
  <c r="F22" i="6" l="1"/>
  <c r="G22"/>
  <c r="B24"/>
  <c r="D23"/>
  <c r="E23"/>
  <c r="B22" i="5"/>
  <c r="C21"/>
  <c r="F23" i="6" l="1"/>
  <c r="G23"/>
  <c r="B25"/>
  <c r="E24"/>
  <c r="D24"/>
  <c r="B23" i="5"/>
  <c r="C22"/>
  <c r="F24" i="6" l="1"/>
  <c r="G24"/>
  <c r="B26"/>
  <c r="D25"/>
  <c r="E25"/>
  <c r="G25" s="1"/>
  <c r="B24" i="5"/>
  <c r="C23"/>
  <c r="F25" i="6" l="1"/>
  <c r="B27"/>
  <c r="D26"/>
  <c r="E26"/>
  <c r="B25" i="5"/>
  <c r="C24"/>
  <c r="F26" i="6" l="1"/>
  <c r="G26"/>
  <c r="B28"/>
  <c r="D27"/>
  <c r="E27"/>
  <c r="G27" s="1"/>
  <c r="B26" i="5"/>
  <c r="C25"/>
  <c r="F27" i="6" l="1"/>
  <c r="B29"/>
  <c r="E28"/>
  <c r="D28"/>
  <c r="B27" i="5"/>
  <c r="C26"/>
  <c r="F28" i="6" l="1"/>
  <c r="G28"/>
  <c r="D29"/>
  <c r="E29"/>
  <c r="F29" s="1"/>
  <c r="C27" i="5"/>
  <c r="F7"/>
  <c r="F6"/>
  <c r="F8"/>
  <c r="F8" i="6" l="1"/>
  <c r="G29"/>
  <c r="G8" s="1"/>
  <c r="G8" i="5"/>
  <c r="G7"/>
  <c r="F10"/>
  <c r="G6"/>
  <c r="H8" i="6" l="1"/>
  <c r="C7" s="1"/>
  <c r="G10" i="5"/>
  <c r="D7" i="6" l="1"/>
</calcChain>
</file>

<file path=xl/sharedStrings.xml><?xml version="1.0" encoding="utf-8"?>
<sst xmlns="http://schemas.openxmlformats.org/spreadsheetml/2006/main" count="52" uniqueCount="30">
  <si>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</si>
  <si>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</si>
  <si>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</si>
  <si>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</si>
  <si>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</si>
  <si>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</si>
  <si>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</si>
  <si>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</si>
  <si>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</si>
  <si>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</si>
  <si>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</si>
  <si>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</si>
  <si>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</si>
  <si>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</si>
  <si>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</si>
  <si>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</si>
  <si>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</si>
  <si>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</si>
  <si>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</si>
  <si>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</si>
  <si>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</si>
  <si>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</si>
  <si>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</si>
  <si>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T</t>
  </si>
  <si>
    <t>DF</t>
  </si>
  <si>
    <t>Survie</t>
  </si>
  <si>
    <t>ProtectLeg</t>
  </si>
  <si>
    <t>Premium</t>
  </si>
  <si>
    <t>Delta</t>
  </si>
  <si>
    <t>NPV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</si>
</sst>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  <xf numFmtId="10" fontId="0" fillId="0" borderId="1" xfId="0" applyNumberFormat="1" applyBorder="1"/>
    <xf numFmtId="10" fontId="3" fillId="0" borderId="0" xfId="0" applyNumberFormat="1" applyFont="1"/>
    <xf numFmtId="10" fontId="4" fillId="0" borderId="0" xfId="0" applyNumberFormat="1" applyFont="1"/>
    <xf numFmtId="43" fontId="0" fillId="0" borderId="0" xfId="0" applyNumberFormat="1"/>
    <xf numFmtId="165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29"/>
  <sheetViews>
    <sheetView workbookViewId="0">
      <selection activeCell="C5" sqref="C5"/>
    </sheetView>
  </sheetViews>
  <sheetFormatPr baseColWidth="10" defaultRowHeight="14.4"/>
  <cols>
    <col min="3" max="3" width="15.109375" bestFit="1" customWidth="1"/>
    <col min="6" max="6" width="12.6640625" bestFit="1" customWidth="1"/>
    <col min="7" max="7" width="14.109375" bestFit="1" customWidth="1"/>
    <col min="8" max="8" width="12.6640625" bestFit="1" customWidth="1"/>
  </cols>
  <sheetData>
    <row r="2" spans="2:8">
      <c r="B2" s="2" t="s">
        <v>5</v>
      </c>
      <c r="C2" s="3">
        <v>10000000</v>
      </c>
    </row>
    <row r="3" spans="2:8">
      <c r="B3" s="2" t="s">
        <v>1</v>
      </c>
      <c r="C3" s="5">
        <v>0.01</v>
      </c>
    </row>
    <row r="4" spans="2:8">
      <c r="B4" s="2" t="s">
        <v>4</v>
      </c>
      <c r="C4" s="15">
        <v>0.03</v>
      </c>
    </row>
    <row r="5" spans="2:8">
      <c r="B5" s="2" t="s">
        <v>2</v>
      </c>
      <c r="C5" s="5">
        <v>0.4</v>
      </c>
    </row>
    <row r="6" spans="2:8">
      <c r="B6" s="2" t="s">
        <v>27</v>
      </c>
      <c r="C6" s="20">
        <v>0.01</v>
      </c>
    </row>
    <row r="7" spans="2:8">
      <c r="B7" s="2" t="s">
        <v>29</v>
      </c>
      <c r="C7" s="19">
        <f>H8</f>
        <v>363780.09537607594</v>
      </c>
      <c r="D7" s="6">
        <f>C7/C2</f>
        <v>3.6378009537607593E-2</v>
      </c>
    </row>
    <row r="8" spans="2:8">
      <c r="F8" s="19">
        <f>SUM(F10:F29)</f>
        <v>450911.02815487026</v>
      </c>
      <c r="G8" s="19">
        <f>SUM(G10:G29)</f>
        <v>814691.12353094621</v>
      </c>
      <c r="H8" s="19">
        <f>G8-F8</f>
        <v>363780.09537607594</v>
      </c>
    </row>
    <row r="9" spans="2:8">
      <c r="B9" s="2" t="s">
        <v>23</v>
      </c>
      <c r="C9" t="s">
        <v>28</v>
      </c>
      <c r="D9" s="2" t="s">
        <v>24</v>
      </c>
      <c r="E9" s="2" t="s">
        <v>25</v>
      </c>
      <c r="F9" s="2" t="s">
        <v>9</v>
      </c>
      <c r="G9" s="2" t="s">
        <v>26</v>
      </c>
    </row>
    <row r="10" spans="2:8">
      <c r="B10">
        <v>0.25</v>
      </c>
      <c r="C10">
        <v>0.25</v>
      </c>
      <c r="D10">
        <f t="shared" ref="D10:D29" si="0">EXP(-B10*$C$3)</f>
        <v>0.99750312239746008</v>
      </c>
      <c r="E10">
        <f t="shared" ref="E10:E29" si="1">EXP(-$C$4*B10)</f>
        <v>0.99252805481913842</v>
      </c>
      <c r="F10" s="19">
        <f>C10*$C$6*D10*E10*$C$2</f>
        <v>24751.245843729204</v>
      </c>
      <c r="G10" s="3">
        <f>$C$2*(1-$C$5)*(1-E10)*D10</f>
        <v>44719.731889752504</v>
      </c>
    </row>
    <row r="11" spans="2:8">
      <c r="B11">
        <f t="shared" ref="B11:B29" si="2">B10+$B$10</f>
        <v>0.5</v>
      </c>
      <c r="C11">
        <v>0.25</v>
      </c>
      <c r="D11">
        <f t="shared" si="0"/>
        <v>0.99501247919268232</v>
      </c>
      <c r="E11">
        <f t="shared" si="1"/>
        <v>0.98511193960306265</v>
      </c>
      <c r="F11" s="19">
        <f t="shared" ref="F11:F29" si="3">C11*$C$6*D11*E11*$C$2</f>
        <v>24504.966832668884</v>
      </c>
      <c r="G11" s="3">
        <f>$C$2*(1-$C$5)*(E10-E11)*D11</f>
        <v>44274.763122756754</v>
      </c>
    </row>
    <row r="12" spans="2:8">
      <c r="B12">
        <f t="shared" si="2"/>
        <v>0.75</v>
      </c>
      <c r="C12">
        <v>0.25</v>
      </c>
      <c r="D12">
        <f t="shared" si="0"/>
        <v>0.99252805481913842</v>
      </c>
      <c r="E12">
        <f t="shared" si="1"/>
        <v>0.97775123719333634</v>
      </c>
      <c r="F12" s="19">
        <f t="shared" si="3"/>
        <v>24261.138338712703</v>
      </c>
      <c r="G12" s="3">
        <f t="shared" ref="G12:G29" si="4">$C$2*(1-$C$5)*(E11-E12)*D12</f>
        <v>43834.221868969173</v>
      </c>
    </row>
    <row r="13" spans="2:8">
      <c r="B13">
        <f t="shared" si="2"/>
        <v>1</v>
      </c>
      <c r="C13">
        <v>0.25</v>
      </c>
      <c r="D13">
        <f t="shared" si="0"/>
        <v>0.99004983374916811</v>
      </c>
      <c r="E13">
        <f t="shared" si="1"/>
        <v>0.97044553354850815</v>
      </c>
      <c r="F13" s="19">
        <f t="shared" si="3"/>
        <v>24019.735978808083</v>
      </c>
      <c r="G13" s="3">
        <f t="shared" si="4"/>
        <v>43398.064073897032</v>
      </c>
    </row>
    <row r="14" spans="2:8">
      <c r="B14">
        <f t="shared" si="2"/>
        <v>1.25</v>
      </c>
      <c r="C14">
        <v>0.25</v>
      </c>
      <c r="D14">
        <f t="shared" si="0"/>
        <v>0.98757780049388144</v>
      </c>
      <c r="E14">
        <f t="shared" si="1"/>
        <v>0.96319441772082182</v>
      </c>
      <c r="F14" s="19">
        <f t="shared" si="3"/>
        <v>23780.735612517852</v>
      </c>
      <c r="G14" s="3">
        <f t="shared" si="4"/>
        <v>42966.246121397075</v>
      </c>
    </row>
    <row r="15" spans="2:8">
      <c r="B15">
        <f t="shared" si="2"/>
        <v>1.5</v>
      </c>
      <c r="C15">
        <v>0.25</v>
      </c>
      <c r="D15">
        <f t="shared" si="0"/>
        <v>0.98511193960306265</v>
      </c>
      <c r="E15">
        <f t="shared" si="1"/>
        <v>0.95599748183309996</v>
      </c>
      <c r="F15" s="19">
        <f t="shared" si="3"/>
        <v>23544.113339606221</v>
      </c>
      <c r="G15" s="3">
        <f t="shared" si="4"/>
        <v>42538.724829315404</v>
      </c>
    </row>
    <row r="16" spans="2:8">
      <c r="B16">
        <f t="shared" si="2"/>
        <v>1.75</v>
      </c>
      <c r="C16">
        <v>0.25</v>
      </c>
      <c r="D16">
        <f t="shared" si="0"/>
        <v>0.9826522356650732</v>
      </c>
      <c r="E16">
        <f t="shared" si="1"/>
        <v>0.94885432105580125</v>
      </c>
      <c r="F16" s="19">
        <f t="shared" si="3"/>
        <v>23309.845497648708</v>
      </c>
      <c r="G16" s="3">
        <f t="shared" si="4"/>
        <v>42115.457445165819</v>
      </c>
    </row>
    <row r="17" spans="2:7">
      <c r="B17">
        <f t="shared" si="2"/>
        <v>2</v>
      </c>
      <c r="C17">
        <v>0.25</v>
      </c>
      <c r="D17">
        <f t="shared" si="0"/>
        <v>0.98019867330675525</v>
      </c>
      <c r="E17">
        <f t="shared" si="1"/>
        <v>0.94176453358424872</v>
      </c>
      <c r="F17" s="19">
        <f t="shared" si="3"/>
        <v>23077.908659665893</v>
      </c>
      <c r="G17" s="3">
        <f t="shared" si="4"/>
        <v>41696.401641855889</v>
      </c>
    </row>
    <row r="18" spans="2:7">
      <c r="B18">
        <f t="shared" si="2"/>
        <v>2.25</v>
      </c>
      <c r="C18">
        <v>0.25</v>
      </c>
      <c r="D18">
        <f t="shared" si="0"/>
        <v>0.97775123719333634</v>
      </c>
      <c r="E18">
        <f t="shared" si="1"/>
        <v>0.93472772061602749</v>
      </c>
      <c r="F18" s="19">
        <f t="shared" si="3"/>
        <v>22848.279631780701</v>
      </c>
      <c r="G18" s="3">
        <f t="shared" si="4"/>
        <v>41281.515513458522</v>
      </c>
    </row>
    <row r="19" spans="2:7">
      <c r="B19">
        <f t="shared" si="2"/>
        <v>2.5</v>
      </c>
      <c r="C19">
        <v>0.25</v>
      </c>
      <c r="D19">
        <f t="shared" si="0"/>
        <v>0.97530991202833262</v>
      </c>
      <c r="E19">
        <f t="shared" si="1"/>
        <v>0.92774348632855286</v>
      </c>
      <c r="F19" s="19">
        <f t="shared" si="3"/>
        <v>22620.935450898989</v>
      </c>
      <c r="G19" s="3">
        <f t="shared" si="4"/>
        <v>40870.757571012895</v>
      </c>
    </row>
    <row r="20" spans="2:7">
      <c r="B20">
        <f t="shared" si="2"/>
        <v>2.75</v>
      </c>
      <c r="C20">
        <v>0.25</v>
      </c>
      <c r="D20">
        <f t="shared" si="0"/>
        <v>0.972874682553454</v>
      </c>
      <c r="E20">
        <f t="shared" si="1"/>
        <v>0.92081143785680453</v>
      </c>
      <c r="F20" s="19">
        <f t="shared" si="3"/>
        <v>22395.853382413206</v>
      </c>
      <c r="G20" s="3">
        <f t="shared" si="4"/>
        <v>40464.086738383878</v>
      </c>
    </row>
    <row r="21" spans="2:7">
      <c r="B21">
        <f t="shared" si="2"/>
        <v>3</v>
      </c>
      <c r="C21">
        <v>0.25</v>
      </c>
      <c r="D21">
        <f t="shared" si="0"/>
        <v>0.97044553354850815</v>
      </c>
      <c r="E21">
        <f t="shared" si="1"/>
        <v>0.91393118527122819</v>
      </c>
      <c r="F21" s="19">
        <f t="shared" si="3"/>
        <v>22173.010917928936</v>
      </c>
      <c r="G21" s="3">
        <f t="shared" si="4"/>
        <v>40061.462348148809</v>
      </c>
    </row>
    <row r="22" spans="2:7">
      <c r="B22">
        <f t="shared" si="2"/>
        <v>3.25</v>
      </c>
      <c r="C22">
        <v>0.25</v>
      </c>
      <c r="D22">
        <f t="shared" si="0"/>
        <v>0.96802244983130603</v>
      </c>
      <c r="E22">
        <f t="shared" si="1"/>
        <v>0.90710234155580172</v>
      </c>
      <c r="F22" s="19">
        <f t="shared" si="3"/>
        <v>21952.385773014033</v>
      </c>
      <c r="G22" s="3">
        <f t="shared" si="4"/>
        <v>39662.844137533495</v>
      </c>
    </row>
    <row r="23" spans="2:7">
      <c r="B23">
        <f t="shared" si="2"/>
        <v>3.5</v>
      </c>
      <c r="C23">
        <v>0.25</v>
      </c>
      <c r="D23">
        <f t="shared" si="0"/>
        <v>0.96560541625756646</v>
      </c>
      <c r="E23">
        <f t="shared" si="1"/>
        <v>0.90032452258626561</v>
      </c>
      <c r="F23" s="19">
        <f t="shared" si="3"/>
        <v>21733.95588497015</v>
      </c>
      <c r="G23" s="3">
        <f t="shared" si="4"/>
        <v>39268.192244384074</v>
      </c>
    </row>
    <row r="24" spans="2:7">
      <c r="B24">
        <f t="shared" si="2"/>
        <v>3.75</v>
      </c>
      <c r="C24">
        <v>0.25</v>
      </c>
      <c r="D24">
        <f t="shared" si="0"/>
        <v>0.96319441772082182</v>
      </c>
      <c r="E24">
        <f t="shared" si="1"/>
        <v>0.89359734710851568</v>
      </c>
      <c r="F24" s="19">
        <f t="shared" si="3"/>
        <v>21517.69941062645</v>
      </c>
      <c r="G24" s="3">
        <f t="shared" si="4"/>
        <v>38877.467203182779</v>
      </c>
    </row>
    <row r="25" spans="2:7">
      <c r="B25">
        <f t="shared" si="2"/>
        <v>4</v>
      </c>
      <c r="C25">
        <v>0.25</v>
      </c>
      <c r="D25">
        <f t="shared" si="0"/>
        <v>0.96078943915232318</v>
      </c>
      <c r="E25">
        <f t="shared" si="1"/>
        <v>0.88692043671715748</v>
      </c>
      <c r="F25" s="19">
        <f t="shared" si="3"/>
        <v>21303.594724155282</v>
      </c>
      <c r="G25" s="3">
        <f t="shared" si="4"/>
        <v>38490.629941100204</v>
      </c>
    </row>
    <row r="26" spans="2:7">
      <c r="B26">
        <f t="shared" si="2"/>
        <v>4.25</v>
      </c>
      <c r="C26">
        <v>0.25</v>
      </c>
      <c r="D26">
        <f t="shared" si="0"/>
        <v>0.95839046552094698</v>
      </c>
      <c r="E26">
        <f t="shared" si="1"/>
        <v>0.88029341583422116</v>
      </c>
      <c r="F26" s="19">
        <f t="shared" si="3"/>
        <v>21091.620414909594</v>
      </c>
      <c r="G26" s="3">
        <f t="shared" si="4"/>
        <v>38107.641774086253</v>
      </c>
    </row>
    <row r="27" spans="2:7">
      <c r="B27">
        <f t="shared" si="2"/>
        <v>4.5</v>
      </c>
      <c r="C27">
        <v>0.25</v>
      </c>
      <c r="D27">
        <f t="shared" si="0"/>
        <v>0.95599748183309996</v>
      </c>
      <c r="E27">
        <f t="shared" si="1"/>
        <v>0.87371591168803442</v>
      </c>
      <c r="F27" s="19">
        <f t="shared" si="3"/>
        <v>20881.755285281797</v>
      </c>
      <c r="G27" s="3">
        <f t="shared" si="4"/>
        <v>37728.464403007798</v>
      </c>
    </row>
    <row r="28" spans="2:7">
      <c r="B28">
        <f t="shared" si="2"/>
        <v>4.75</v>
      </c>
      <c r="C28">
        <v>0.25</v>
      </c>
      <c r="D28">
        <f t="shared" si="0"/>
        <v>0.95361047313262637</v>
      </c>
      <c r="E28">
        <f t="shared" si="1"/>
        <v>0.86718755429225491</v>
      </c>
      <c r="F28" s="19">
        <f t="shared" si="3"/>
        <v>20673.97834858406</v>
      </c>
      <c r="G28" s="3">
        <f t="shared" si="4"/>
        <v>37353.059909809046</v>
      </c>
    </row>
    <row r="29" spans="2:7">
      <c r="B29">
        <f t="shared" si="2"/>
        <v>5</v>
      </c>
      <c r="C29">
        <v>0.25</v>
      </c>
      <c r="D29">
        <f t="shared" si="0"/>
        <v>0.95122942450071402</v>
      </c>
      <c r="E29">
        <f t="shared" si="1"/>
        <v>0.86070797642505781</v>
      </c>
      <c r="F29" s="19">
        <f t="shared" si="3"/>
        <v>20468.268826949548</v>
      </c>
      <c r="G29" s="3">
        <f t="shared" si="4"/>
        <v>36981.390753728803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workbookViewId="0">
      <selection activeCell="F9" sqref="F9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42083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8">
        <v>0.03</v>
      </c>
      <c r="E4" s="2" t="s">
        <v>3</v>
      </c>
      <c r="F4" s="17">
        <v>0.01</v>
      </c>
      <c r="G4" s="6"/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816519.03792403312</v>
      </c>
      <c r="G6" s="8">
        <f>F6/$F$2</f>
        <v>8.1651903792403308E-2</v>
      </c>
    </row>
    <row r="7" spans="1:9">
      <c r="A7" s="2" t="s">
        <v>16</v>
      </c>
      <c r="B7" s="1">
        <v>42083</v>
      </c>
      <c r="C7" s="4">
        <f>(B7-$C$2)/365</f>
        <v>0</v>
      </c>
      <c r="E7" s="11" t="s">
        <v>9</v>
      </c>
      <c r="F7" s="7">
        <f>Premium_Leg(C7:C27,F2,F4,C3,C4)</f>
        <v>451354.55655080517</v>
      </c>
      <c r="G7" s="8">
        <f>F7/$F$2</f>
        <v>4.5135455655080516E-2</v>
      </c>
    </row>
    <row r="8" spans="1:9">
      <c r="A8" s="2" t="s">
        <v>17</v>
      </c>
      <c r="B8" s="1">
        <f t="shared" ref="B8:B27" si="0">EDATE(B7,3)</f>
        <v>42175</v>
      </c>
      <c r="C8" s="4">
        <f>(B8-$C$2)/365</f>
        <v>0.25205479452054796</v>
      </c>
      <c r="E8" s="11" t="s">
        <v>10</v>
      </c>
      <c r="F8" s="7">
        <f>Accrual_Leg(C7:C27,F2,F4,C3,C4)</f>
        <v>1700.3483885765631</v>
      </c>
      <c r="G8" s="8">
        <f>F8/$F$2</f>
        <v>1.700348388576563E-4</v>
      </c>
    </row>
    <row r="9" spans="1:9">
      <c r="A9" s="2" t="s">
        <v>18</v>
      </c>
      <c r="B9" s="1">
        <f t="shared" si="0"/>
        <v>42267</v>
      </c>
      <c r="C9" s="4">
        <f t="shared" ref="C9:C27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42358</v>
      </c>
      <c r="C10" s="4">
        <f t="shared" si="1"/>
        <v>0.75342465753424659</v>
      </c>
      <c r="E10" s="11" t="s">
        <v>12</v>
      </c>
      <c r="F10" s="7">
        <f>F6-F7-F8</f>
        <v>363464.13298465137</v>
      </c>
      <c r="G10" s="8">
        <f>F10/$F$2</f>
        <v>3.6346413298465136E-2</v>
      </c>
    </row>
    <row r="11" spans="1:9">
      <c r="B11" s="1">
        <f t="shared" si="0"/>
        <v>42449</v>
      </c>
      <c r="C11" s="4">
        <f t="shared" si="1"/>
        <v>1.0027397260273974</v>
      </c>
      <c r="I11" s="6"/>
    </row>
    <row r="12" spans="1:9">
      <c r="B12" s="1">
        <f t="shared" si="0"/>
        <v>42541</v>
      </c>
      <c r="C12" s="4">
        <f>(B12-$C$2)/365</f>
        <v>1.2547945205479452</v>
      </c>
    </row>
    <row r="13" spans="1:9">
      <c r="B13" s="1">
        <f t="shared" si="0"/>
        <v>42633</v>
      </c>
      <c r="C13" s="4">
        <f t="shared" si="1"/>
        <v>1.5068493150684932</v>
      </c>
    </row>
    <row r="14" spans="1:9">
      <c r="B14" s="1">
        <f t="shared" si="0"/>
        <v>42724</v>
      </c>
      <c r="C14" s="4">
        <f t="shared" si="1"/>
        <v>1.7561643835616438</v>
      </c>
    </row>
    <row r="15" spans="1:9">
      <c r="B15" s="1">
        <f t="shared" si="0"/>
        <v>42814</v>
      </c>
      <c r="C15" s="4">
        <f t="shared" si="1"/>
        <v>2.0027397260273974</v>
      </c>
    </row>
    <row r="16" spans="1:9">
      <c r="B16" s="1">
        <f t="shared" si="0"/>
        <v>42906</v>
      </c>
      <c r="C16" s="4">
        <f t="shared" si="1"/>
        <v>2.2547945205479452</v>
      </c>
    </row>
    <row r="17" spans="1:3">
      <c r="B17" s="1">
        <f t="shared" si="0"/>
        <v>42998</v>
      </c>
      <c r="C17" s="4">
        <f t="shared" si="1"/>
        <v>2.506849315068493</v>
      </c>
    </row>
    <row r="18" spans="1:3">
      <c r="B18" s="1">
        <f t="shared" si="0"/>
        <v>43089</v>
      </c>
      <c r="C18" s="4">
        <f t="shared" si="1"/>
        <v>2.7561643835616438</v>
      </c>
    </row>
    <row r="19" spans="1:3">
      <c r="B19" s="1">
        <f t="shared" si="0"/>
        <v>43179</v>
      </c>
      <c r="C19" s="4">
        <f t="shared" si="1"/>
        <v>3.0027397260273974</v>
      </c>
    </row>
    <row r="20" spans="1:3">
      <c r="B20" s="1">
        <f t="shared" si="0"/>
        <v>43271</v>
      </c>
      <c r="C20" s="4">
        <f t="shared" si="1"/>
        <v>3.2547945205479452</v>
      </c>
    </row>
    <row r="21" spans="1:3">
      <c r="B21" s="1">
        <f t="shared" si="0"/>
        <v>43363</v>
      </c>
      <c r="C21" s="4">
        <f t="shared" si="1"/>
        <v>3.506849315068493</v>
      </c>
    </row>
    <row r="22" spans="1:3">
      <c r="B22" s="1">
        <f t="shared" si="0"/>
        <v>43454</v>
      </c>
      <c r="C22" s="4">
        <f t="shared" si="1"/>
        <v>3.7561643835616438</v>
      </c>
    </row>
    <row r="23" spans="1:3">
      <c r="B23" s="1">
        <f t="shared" si="0"/>
        <v>43544</v>
      </c>
      <c r="C23" s="4">
        <f t="shared" si="1"/>
        <v>4.0027397260273974</v>
      </c>
    </row>
    <row r="24" spans="1:3">
      <c r="B24" s="1">
        <f t="shared" si="0"/>
        <v>43636</v>
      </c>
      <c r="C24" s="4">
        <f t="shared" si="1"/>
        <v>4.2547945205479456</v>
      </c>
    </row>
    <row r="25" spans="1:3">
      <c r="B25" s="1">
        <f t="shared" si="0"/>
        <v>43728</v>
      </c>
      <c r="C25" s="4">
        <f t="shared" si="1"/>
        <v>4.506849315068493</v>
      </c>
    </row>
    <row r="26" spans="1:3">
      <c r="B26" s="1">
        <f t="shared" si="0"/>
        <v>43819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43910</v>
      </c>
      <c r="C27" s="4">
        <f t="shared" si="1"/>
        <v>5.0054794520547947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abSelected="1" topLeftCell="B1" workbookViewId="0">
      <selection activeCell="C5" sqref="C5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8.21875" bestFit="1" customWidth="1"/>
    <col min="5" max="5" width="13.44140625" bestFit="1" customWidth="1"/>
    <col min="6" max="6" width="16" bestFit="1" customWidth="1"/>
    <col min="7" max="7" width="8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42485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7">
        <v>0.01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297708.71068212838</v>
      </c>
      <c r="G6" s="8">
        <f>F6/$F$2</f>
        <v>2.9770871068212839E-2</v>
      </c>
      <c r="H6" s="13" t="s">
        <v>20</v>
      </c>
      <c r="I6" s="8">
        <f>1-EXP(-C4*C28)</f>
        <v>5.0254897773294616E-2</v>
      </c>
    </row>
    <row r="7" spans="1:9">
      <c r="A7" s="2" t="s">
        <v>16</v>
      </c>
      <c r="B7" s="1">
        <v>42449</v>
      </c>
      <c r="C7" s="4">
        <f>(B7-$C$2)/365</f>
        <v>-9.8630136986301367E-2</v>
      </c>
      <c r="D7" s="3">
        <f>C7*365</f>
        <v>-36</v>
      </c>
      <c r="E7" s="11" t="s">
        <v>9</v>
      </c>
      <c r="F7" s="7">
        <f>Premium_Leg(C7:C28,F2,F4,C3,C4)</f>
        <v>505102.30069698847</v>
      </c>
      <c r="G7" s="8">
        <f>F7/$F$2</f>
        <v>5.0510230069698847E-2</v>
      </c>
      <c r="H7" s="13" t="s">
        <v>21</v>
      </c>
      <c r="I7" s="8">
        <f>1-EXP(-F14/(1-F3)*C28)</f>
        <v>5.0285422757039622E-2</v>
      </c>
    </row>
    <row r="8" spans="1:9">
      <c r="A8" s="2" t="s">
        <v>17</v>
      </c>
      <c r="B8" s="1">
        <f t="shared" ref="B8:B28" si="0">EDATE(B7,3)</f>
        <v>42541</v>
      </c>
      <c r="C8" s="4">
        <f>(B8-$C$2)/365</f>
        <v>0.15342465753424658</v>
      </c>
      <c r="E8" s="11" t="s">
        <v>10</v>
      </c>
      <c r="F8" s="7">
        <f>Accrual_Leg(C7:C28,F2,F4,C3,C4)</f>
        <v>632.79799941301462</v>
      </c>
      <c r="G8" s="8">
        <f>F8/$F$2</f>
        <v>6.3279799941301461E-5</v>
      </c>
    </row>
    <row r="9" spans="1:9">
      <c r="A9" s="2" t="s">
        <v>18</v>
      </c>
      <c r="B9" s="1">
        <f t="shared" si="0"/>
        <v>42633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42724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42814</v>
      </c>
      <c r="C11" s="4">
        <f t="shared" si="1"/>
        <v>0.90136986301369859</v>
      </c>
      <c r="E11" s="11" t="s">
        <v>15</v>
      </c>
      <c r="F11" s="10">
        <f>(F7+F8-F9)/F4/F2</f>
        <v>4.9587208499777127</v>
      </c>
      <c r="G11" s="8"/>
      <c r="I11" s="6"/>
    </row>
    <row r="12" spans="1:9">
      <c r="B12" s="1">
        <f t="shared" si="0"/>
        <v>42906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42998</v>
      </c>
      <c r="C13" s="4">
        <f t="shared" si="1"/>
        <v>1.4054794520547946</v>
      </c>
      <c r="E13" s="11" t="s">
        <v>12</v>
      </c>
      <c r="F13" s="7">
        <f>F6-F7-F8</f>
        <v>-208026.38801427311</v>
      </c>
      <c r="G13" s="8">
        <f>F13/$F$2</f>
        <v>-2.0802638801427312E-2</v>
      </c>
    </row>
    <row r="14" spans="1:9">
      <c r="B14" s="1">
        <f t="shared" si="0"/>
        <v>43089</v>
      </c>
      <c r="C14" s="4">
        <f t="shared" si="1"/>
        <v>1.6547945205479453</v>
      </c>
      <c r="E14" s="11" t="s">
        <v>14</v>
      </c>
      <c r="F14" s="14">
        <f>F6/F11/F2</f>
        <v>6.0037400710601894E-3</v>
      </c>
      <c r="G14" s="9"/>
    </row>
    <row r="15" spans="1:9">
      <c r="B15" s="1">
        <f t="shared" si="0"/>
        <v>43179</v>
      </c>
      <c r="C15" s="4">
        <f t="shared" si="1"/>
        <v>1.9013698630136986</v>
      </c>
      <c r="E15" s="12" t="s">
        <v>22</v>
      </c>
      <c r="F15" s="14">
        <f>C4*(1-F3)</f>
        <v>6.0000000000000001E-3</v>
      </c>
    </row>
    <row r="16" spans="1:9">
      <c r="B16" s="1">
        <f t="shared" si="0"/>
        <v>43271</v>
      </c>
      <c r="C16" s="4">
        <f t="shared" si="1"/>
        <v>2.1534246575342464</v>
      </c>
      <c r="E16" s="11" t="s">
        <v>13</v>
      </c>
      <c r="F16" s="8">
        <f>1-(F13+F9)/F2</f>
        <v>1.0198163374315643</v>
      </c>
      <c r="G16" s="16">
        <v>1.0124200000000001</v>
      </c>
      <c r="H16" s="3">
        <f>(F16-G16)*1000000</f>
        <v>7396.3374315642041</v>
      </c>
    </row>
    <row r="17" spans="1:3">
      <c r="B17" s="1">
        <f t="shared" si="0"/>
        <v>43363</v>
      </c>
      <c r="C17" s="4">
        <f t="shared" si="1"/>
        <v>2.4054794520547946</v>
      </c>
    </row>
    <row r="18" spans="1:3">
      <c r="B18" s="1">
        <f t="shared" si="0"/>
        <v>43454</v>
      </c>
      <c r="C18" s="4">
        <f t="shared" si="1"/>
        <v>2.6547945205479451</v>
      </c>
    </row>
    <row r="19" spans="1:3">
      <c r="B19" s="1">
        <f t="shared" si="0"/>
        <v>43544</v>
      </c>
      <c r="C19" s="4">
        <f t="shared" si="1"/>
        <v>2.9013698630136986</v>
      </c>
    </row>
    <row r="20" spans="1:3">
      <c r="B20" s="1">
        <f t="shared" si="0"/>
        <v>43636</v>
      </c>
      <c r="C20" s="4">
        <f t="shared" si="1"/>
        <v>3.1534246575342464</v>
      </c>
    </row>
    <row r="21" spans="1:3">
      <c r="B21" s="1">
        <f t="shared" si="0"/>
        <v>43728</v>
      </c>
      <c r="C21" s="4">
        <f t="shared" si="1"/>
        <v>3.4054794520547946</v>
      </c>
    </row>
    <row r="22" spans="1:3">
      <c r="B22" s="1">
        <f t="shared" si="0"/>
        <v>43819</v>
      </c>
      <c r="C22" s="4">
        <f t="shared" si="1"/>
        <v>3.6547945205479451</v>
      </c>
    </row>
    <row r="23" spans="1:3">
      <c r="B23" s="1">
        <f t="shared" si="0"/>
        <v>43910</v>
      </c>
      <c r="C23" s="4">
        <f t="shared" si="1"/>
        <v>3.904109589041096</v>
      </c>
    </row>
    <row r="24" spans="1:3">
      <c r="B24" s="1">
        <f t="shared" si="0"/>
        <v>44002</v>
      </c>
      <c r="C24" s="4">
        <f t="shared" si="1"/>
        <v>4.1561643835616442</v>
      </c>
    </row>
    <row r="25" spans="1:3">
      <c r="B25" s="1">
        <f t="shared" si="0"/>
        <v>44094</v>
      </c>
      <c r="C25" s="4">
        <f t="shared" si="1"/>
        <v>4.4082191780821915</v>
      </c>
    </row>
    <row r="26" spans="1:3">
      <c r="B26" s="1">
        <f t="shared" si="0"/>
        <v>44185</v>
      </c>
      <c r="C26" s="4">
        <f t="shared" si="1"/>
        <v>4.6575342465753424</v>
      </c>
    </row>
    <row r="27" spans="1:3">
      <c r="B27" s="1">
        <f t="shared" si="0"/>
        <v>44275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44367</v>
      </c>
      <c r="C28" s="4">
        <f t="shared" si="1"/>
        <v>5.1561643835616442</v>
      </c>
    </row>
  </sheetData>
  <dataConsolidate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Exercice</vt:lpstr>
      <vt:lpstr>CDX NA IG 5Y Série 26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2016-05-01T20:07:52Z</dcterms:modified>
</cp:coreProperties>
</file>