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0115" windowHeight="7995"/>
  </bookViews>
  <sheets>
    <sheet name="Bond Margins" sheetId="1" r:id="rId1"/>
  </sheets>
  <functionGroups/>
  <calcPr calcId="125725"/>
</workbook>
</file>

<file path=xl/calcChain.xml><?xml version="1.0" encoding="utf-8"?>
<calcChain xmlns="http://schemas.openxmlformats.org/spreadsheetml/2006/main">
  <c r="G3" i="1"/>
  <c r="H3" s="1"/>
  <c r="G4"/>
  <c r="H4" s="1"/>
  <c r="G5"/>
  <c r="H5" s="1"/>
  <c r="G6"/>
  <c r="H6" s="1"/>
  <c r="G2"/>
  <c r="H2" s="1"/>
  <c r="F6"/>
  <c r="F3"/>
  <c r="F4"/>
  <c r="F5"/>
  <c r="F2"/>
  <c r="C10"/>
  <c r="F10"/>
  <c r="F12" l="1"/>
  <c r="C8"/>
  <c r="F8"/>
  <c r="F9" l="1"/>
  <c r="F11"/>
</calcChain>
</file>

<file path=xl/sharedStrings.xml><?xml version="1.0" encoding="utf-8"?>
<sst xmlns="http://schemas.openxmlformats.org/spreadsheetml/2006/main" count="21" uniqueCount="17">
  <si>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</si>
  <si>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</si>
  <si>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</si>
  <si>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</si>
  <si>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</si>
  <si>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</si>
  <si>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</si>
  <si>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</si>
  <si>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</si>
  <si>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</si>
  <si>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</si>
  <si>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</si>
  <si>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DF with risk</t>
  </si>
  <si>
    <t>Prix de marché</t>
  </si>
  <si>
    <t>Basis</t>
  </si>
  <si>
    <t>CDS Margin</t>
  </si>
  <si>
    <t xml:space="preserve">CDS ASW Margin 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</si>
</sst>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7" formatCode="_-* #,##0.0000\ _€_-;\-* #,##0.0000\ _€_-;_-* &quot;-&quot;??\ _€_-;_-@_-"/>
    <numFmt numFmtId="170" formatCode="_-* #,##0.00\ _€_-;\-* #,##0.0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7" fontId="0" fillId="0" borderId="0" xfId="1" applyNumberFormat="1" applyFont="1"/>
    <xf numFmtId="170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zoomScale="200" zoomScaleNormal="200" workbookViewId="0">
      <selection activeCell="C6" sqref="C6"/>
    </sheetView>
  </sheetViews>
  <sheetFormatPr baseColWidth="10" defaultRowHeight="15"/>
  <cols>
    <col min="2" max="2" width="14.85546875" bestFit="1" customWidth="1"/>
    <col min="3" max="3" width="5.5703125" bestFit="1" customWidth="1"/>
    <col min="4" max="4" width="4.140625" bestFit="1" customWidth="1"/>
    <col min="5" max="5" width="22.7109375" bestFit="1" customWidth="1"/>
    <col min="6" max="6" width="9.5703125" bestFit="1" customWidth="1"/>
    <col min="7" max="7" width="11" bestFit="1" customWidth="1"/>
    <col min="8" max="8" width="11.285156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12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7">
        <f>1/(1+$C$2)^E2</f>
        <v>0.99009900990099009</v>
      </c>
      <c r="H2" s="7">
        <f>G2*EXP(-$C$3*E2)</f>
        <v>0.97049373594728239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>
        <f t="shared" ref="G3:G6" si="0">1/(1+$C$2)^E3</f>
        <v>0.98029604940692083</v>
      </c>
      <c r="H3" s="7">
        <f>G3*EXP(-$C$3*E3)</f>
        <v>0.94185809151291355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0.97059014792764453</v>
      </c>
      <c r="H4" s="7">
        <f>G4*EXP(-$C$3*E4)</f>
        <v>0.91406737796454507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0.96098034448281622</v>
      </c>
      <c r="H5" s="7">
        <f>G5*EXP(-$C$3*E5)</f>
        <v>0.8870966645483479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0.95146568760674888</v>
      </c>
      <c r="H6" s="7">
        <f>G6*EXP(-$C$3*E6)</f>
        <v>0.86092175612389954</v>
      </c>
    </row>
    <row r="8" spans="2:8">
      <c r="B8" s="3" t="s">
        <v>2</v>
      </c>
      <c r="C8" s="1">
        <f>SUMPRODUCT(F2:F6,G2:G6)</f>
        <v>1.1941372495730049</v>
      </c>
      <c r="E8" s="3" t="s">
        <v>8</v>
      </c>
      <c r="F8" s="5">
        <f>(PriceToYield(E2:E6,F2:F6,C9)-PriceToYield(E2:E6,F2:F6,C8))*10000</f>
        <v>182.72152425951705</v>
      </c>
      <c r="G8" t="s">
        <v>7</v>
      </c>
    </row>
    <row r="9" spans="2:8">
      <c r="B9" s="3" t="s">
        <v>13</v>
      </c>
      <c r="C9" s="1">
        <v>1.1000000000000001</v>
      </c>
      <c r="E9" s="3" t="s">
        <v>6</v>
      </c>
      <c r="F9" s="5">
        <f>(C8-C9)/SUM(G2:G6)*10000</f>
        <v>193.96020038412007</v>
      </c>
      <c r="G9" t="s">
        <v>7</v>
      </c>
    </row>
    <row r="10" spans="2:8">
      <c r="B10" s="3" t="s">
        <v>5</v>
      </c>
      <c r="C10" s="1">
        <f>SUMPRODUCT(F2:F6,H2:H6)+C6*PayAtDefault(E6,C3,C2)</f>
        <v>1.1267881770487336</v>
      </c>
      <c r="E10" s="3" t="s">
        <v>15</v>
      </c>
      <c r="F10" s="4">
        <f>(1-C6)*PayAtDefault(E6,C3,C2)/SUM(H2:H6)*10000</f>
        <v>121.80034789875512</v>
      </c>
      <c r="G10" t="s">
        <v>7</v>
      </c>
    </row>
    <row r="11" spans="2:8">
      <c r="E11" s="3" t="s">
        <v>16</v>
      </c>
      <c r="F11" s="8">
        <f>(C8-C10)/SUM(G2:G6)*10000</f>
        <v>138.76589407216241</v>
      </c>
      <c r="G11" t="s">
        <v>7</v>
      </c>
    </row>
    <row r="12" spans="2:8">
      <c r="E12" s="3" t="s">
        <v>14</v>
      </c>
      <c r="F12" s="8">
        <f>(C9-C10)/SUM(G2:G6)*10000</f>
        <v>-55.194306311957639</v>
      </c>
      <c r="G12" t="s">
        <v>7</v>
      </c>
    </row>
    <row r="13" spans="2:8">
      <c r="F13" s="9"/>
    </row>
    <row r="14" spans="2:8">
      <c r="D14" s="6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2014-04-16T12:56:48Z</dcterms:modified>
</cp:coreProperties>
</file>