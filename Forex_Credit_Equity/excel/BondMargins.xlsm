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9612" windowHeight="7524"/>
  </bookViews>
  <sheets>
    <sheet name="Bond Margins" sheetId="1" r:id="rId1"/>
  </sheets>
  <functionGroups/>
  <calcPr calcId="124519"/>
</workbook>
</file>

<file path=xl/calcChain.xml><?xml version="1.0" encoding="utf-8"?>
<calcChain xmlns="http://schemas.openxmlformats.org/spreadsheetml/2006/main">
  <c r="G3" i="1"/>
  <c r="H3" s="1"/>
  <c r="G4"/>
  <c r="H4" s="1"/>
  <c r="G5"/>
  <c r="H5" s="1"/>
  <c r="G6"/>
  <c r="H6" s="1"/>
  <c r="G2"/>
  <c r="H2" s="1"/>
  <c r="F6"/>
  <c r="F3"/>
  <c r="F4"/>
  <c r="F5"/>
  <c r="F2"/>
  <c r="C10"/>
  <c r="C11"/>
  <c r="F10" l="1"/>
  <c r="C8"/>
  <c r="F8"/>
  <c r="F11"/>
  <c r="F9" l="1"/>
  <c r="F12"/>
  <c r="F13" s="1"/>
</calcChain>
</file>

<file path=xl/sharedStrings.xml><?xml version="1.0" encoding="utf-8"?>
<sst xmlns="http://schemas.openxmlformats.org/spreadsheetml/2006/main" count="24" uniqueCount="20">
  <si>
    <t>R</t>
  </si>
  <si>
    <t>C</t>
  </si>
  <si>
    <t>Prix Sans risque</t>
  </si>
  <si>
    <t>intensity</t>
  </si>
  <si>
    <t>Rec</t>
  </si>
  <si>
    <t>Prix risqué</t>
  </si>
  <si>
    <t>Asset Swap Margin</t>
  </si>
  <si>
    <t>bps</t>
  </si>
  <si>
    <t>ZSpread/Ispread</t>
  </si>
  <si>
    <t>Pay Dates</t>
  </si>
  <si>
    <t>Flows</t>
  </si>
  <si>
    <t>DF risk free</t>
  </si>
  <si>
    <t>Prix de marché</t>
  </si>
  <si>
    <t>Basis</t>
  </si>
  <si>
    <t>CDS Margin</t>
  </si>
  <si>
    <t xml:space="preserve">CDS ASW Margin </t>
  </si>
  <si>
    <t>Rendement</t>
  </si>
  <si>
    <t>Survival</t>
  </si>
  <si>
    <t>Duration</t>
  </si>
  <si>
    <t>années</t>
  </si>
</sst>
</file>

<file path=xl/styles.xml><?xml version="1.0" encoding="utf-8"?>
<styleSheet xmlns="http://schemas.openxmlformats.org/spreadsheetml/2006/main">
  <numFmts count="2">
    <numFmt numFmtId="43" formatCode="_-* #,##0.00\ _€_-;\-* #,##0.00\ _€_-;_-* &quot;-&quot;??\ _€_-;_-@_-"/>
    <numFmt numFmtId="164" formatCode="_-* #,##0.0000\ _€_-;\-* #,##0.0000\ _€_-;_-* &quot;-&quot;??\ _€_-;_-@_-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0" applyNumberFormat="1"/>
    <xf numFmtId="10" fontId="0" fillId="0" borderId="0" xfId="2" applyNumberFormat="1" applyFon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2" fontId="0" fillId="0" borderId="0" xfId="0" applyNumberFormat="1"/>
    <xf numFmtId="164" fontId="0" fillId="0" borderId="0" xfId="1" applyNumberFormat="1" applyFont="1"/>
    <xf numFmtId="43" fontId="0" fillId="0" borderId="0" xfId="0" applyNumberFormat="1"/>
    <xf numFmtId="164" fontId="0" fillId="0" borderId="0" xfId="0" applyNumberFormat="1"/>
    <xf numFmtId="10" fontId="3" fillId="0" borderId="0" xfId="1" applyNumberFormat="1" applyFont="1"/>
    <xf numFmtId="10" fontId="3" fillId="0" borderId="0" xfId="2" applyNumberFormat="1" applyFont="1"/>
    <xf numFmtId="10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1:H15"/>
  <sheetViews>
    <sheetView tabSelected="1" topLeftCell="B5" zoomScale="200" zoomScaleNormal="200" workbookViewId="0">
      <selection activeCell="C13" sqref="C13"/>
    </sheetView>
  </sheetViews>
  <sheetFormatPr baseColWidth="10" defaultRowHeight="14.4"/>
  <cols>
    <col min="2" max="2" width="14.88671875" bestFit="1" customWidth="1"/>
    <col min="3" max="3" width="6.109375" bestFit="1" customWidth="1"/>
    <col min="4" max="4" width="4.109375" bestFit="1" customWidth="1"/>
    <col min="5" max="5" width="22.6640625" bestFit="1" customWidth="1"/>
    <col min="6" max="6" width="9.5546875" bestFit="1" customWidth="1"/>
    <col min="7" max="7" width="11" bestFit="1" customWidth="1"/>
    <col min="8" max="8" width="11.33203125" bestFit="1" customWidth="1"/>
  </cols>
  <sheetData>
    <row r="1" spans="2:8">
      <c r="E1" s="3" t="s">
        <v>9</v>
      </c>
      <c r="F1" s="3" t="s">
        <v>10</v>
      </c>
      <c r="G1" s="3" t="s">
        <v>11</v>
      </c>
      <c r="H1" s="3" t="s">
        <v>17</v>
      </c>
    </row>
    <row r="2" spans="2:8">
      <c r="B2" s="3" t="s">
        <v>0</v>
      </c>
      <c r="C2" s="12">
        <v>0.02</v>
      </c>
      <c r="E2">
        <v>1</v>
      </c>
      <c r="F2" s="1">
        <f>$C$5</f>
        <v>0.05</v>
      </c>
      <c r="G2" s="7">
        <f>1/(1+$C$2)^E2</f>
        <v>0.98039215686274506</v>
      </c>
      <c r="H2" s="7">
        <f>G2*EXP(-$C$3*E2)</f>
        <v>0.96097909147721094</v>
      </c>
    </row>
    <row r="3" spans="2:8">
      <c r="B3" s="3" t="s">
        <v>3</v>
      </c>
      <c r="C3" s="1">
        <v>0.02</v>
      </c>
      <c r="E3">
        <v>2</v>
      </c>
      <c r="F3" s="1">
        <f>$C$5</f>
        <v>0.05</v>
      </c>
      <c r="G3" s="7">
        <f t="shared" ref="G3:G6" si="0">1/(1+$C$2)^E3</f>
        <v>0.96116878123798544</v>
      </c>
      <c r="H3" s="7">
        <f>G3*EXP(-$C$3*E3)</f>
        <v>0.92348081425636608</v>
      </c>
    </row>
    <row r="4" spans="2:8">
      <c r="B4" s="3"/>
      <c r="C4" s="1"/>
      <c r="E4">
        <v>3</v>
      </c>
      <c r="F4" s="1">
        <f>$C$5</f>
        <v>0.05</v>
      </c>
      <c r="G4" s="7">
        <f t="shared" si="0"/>
        <v>0.94232233454704462</v>
      </c>
      <c r="H4" s="7">
        <f>G4*EXP(-$C$3*E4)</f>
        <v>0.88744575388071789</v>
      </c>
    </row>
    <row r="5" spans="2:8">
      <c r="B5" s="3" t="s">
        <v>1</v>
      </c>
      <c r="C5" s="1">
        <v>0.05</v>
      </c>
      <c r="E5">
        <v>4</v>
      </c>
      <c r="F5" s="1">
        <f>$C$5</f>
        <v>0.05</v>
      </c>
      <c r="G5" s="7">
        <f t="shared" si="0"/>
        <v>0.9238454260265142</v>
      </c>
      <c r="H5" s="7">
        <f>G5*EXP(-$C$3*E5)</f>
        <v>0.85281681429960077</v>
      </c>
    </row>
    <row r="6" spans="2:8">
      <c r="B6" s="3" t="s">
        <v>4</v>
      </c>
      <c r="C6" s="1">
        <v>0.4</v>
      </c>
      <c r="E6">
        <v>5</v>
      </c>
      <c r="F6" s="1">
        <f>1+$C$5</f>
        <v>1.05</v>
      </c>
      <c r="G6" s="7">
        <f t="shared" si="0"/>
        <v>0.90573080982991594</v>
      </c>
      <c r="H6" s="7">
        <f>G6*EXP(-$C$3*E6)</f>
        <v>0.81953912740211976</v>
      </c>
    </row>
    <row r="8" spans="2:8">
      <c r="B8" s="3" t="s">
        <v>2</v>
      </c>
      <c r="C8" s="1">
        <f>SUMPRODUCT(F2:F6,G2:G6)</f>
        <v>1.1414037852551262</v>
      </c>
      <c r="E8" s="3" t="s">
        <v>8</v>
      </c>
      <c r="F8" s="5">
        <f>(PriceToYield(E2:E6,F2:F6,C9)-PriceToYield(E2:E6,F2:F6,C8))*10000</f>
        <v>82.721535808571829</v>
      </c>
      <c r="G8" t="s">
        <v>7</v>
      </c>
    </row>
    <row r="9" spans="2:8">
      <c r="B9" s="3" t="s">
        <v>12</v>
      </c>
      <c r="C9" s="1">
        <v>1.1000000000000001</v>
      </c>
      <c r="E9" s="3" t="s">
        <v>6</v>
      </c>
      <c r="F9" s="10">
        <f>(C8-C9)/F10</f>
        <v>8.7841605895677705E-3</v>
      </c>
      <c r="G9" t="s">
        <v>7</v>
      </c>
    </row>
    <row r="10" spans="2:8">
      <c r="B10" s="3" t="s">
        <v>16</v>
      </c>
      <c r="C10" s="2">
        <f>PriceToYield(E2:E6,F2:F6,C9)</f>
        <v>2.8272152425951436E-2</v>
      </c>
      <c r="E10" s="3" t="s">
        <v>18</v>
      </c>
      <c r="F10" s="9">
        <f>SUM(G2:G6)</f>
        <v>4.7134595085042053</v>
      </c>
      <c r="G10" t="s">
        <v>19</v>
      </c>
    </row>
    <row r="11" spans="2:8">
      <c r="B11" s="3" t="s">
        <v>5</v>
      </c>
      <c r="C11" s="1">
        <f>SUMPRODUCT(F2:F6,H2:H6)+C6*PayAtDefault(E6,C3,C2)</f>
        <v>1.0780060568523242</v>
      </c>
      <c r="E11" s="3" t="s">
        <v>14</v>
      </c>
      <c r="F11" s="4">
        <f>(1-C6)*PayAtDefault(E6,C3,C2)/F10*10000</f>
        <v>115.37337698242568</v>
      </c>
      <c r="G11" t="s">
        <v>7</v>
      </c>
    </row>
    <row r="12" spans="2:8">
      <c r="E12" s="3" t="s">
        <v>15</v>
      </c>
      <c r="F12" s="11">
        <f>(C8-C11)/F10</f>
        <v>1.3450360247800448E-2</v>
      </c>
      <c r="G12" t="s">
        <v>7</v>
      </c>
    </row>
    <row r="13" spans="2:8">
      <c r="E13" s="3" t="s">
        <v>13</v>
      </c>
      <c r="F13" s="11">
        <f>F12-F9</f>
        <v>4.6661996582326778E-3</v>
      </c>
      <c r="G13" t="s">
        <v>7</v>
      </c>
    </row>
    <row r="14" spans="2:8">
      <c r="D14" s="6"/>
      <c r="F14" s="8"/>
    </row>
    <row r="15" spans="2:8">
      <c r="D15" s="2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Bond Margins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2014-04-16T11:37:41Z</dcterms:created>
  <dcterms:modified xsi:type="dcterms:W3CDTF">2016-05-01T20:00:45Z</dcterms:modified>
</cp:coreProperties>
</file>