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0200" yWindow="-15" windowWidth="10245" windowHeight="8070"/>
  </bookViews>
  <sheets>
    <sheet name="Prime" sheetId="1" r:id="rId1"/>
    <sheet name="FXDelta" sheetId="4" r:id="rId2"/>
  </sheets>
  <functionGroups/>
  <calcPr calcId="125725"/>
</workbook>
</file>

<file path=xl/calcChain.xml><?xml version="1.0" encoding="utf-8"?>
<calcChain xmlns="http://schemas.openxmlformats.org/spreadsheetml/2006/main">
  <c r="F12" i="1"/>
  <c r="F11"/>
  <c r="C11" l="1"/>
  <c r="C10"/>
  <c r="C14" i="4"/>
  <c r="C17"/>
  <c r="C11"/>
  <c r="C10"/>
  <c r="C16" i="1"/>
  <c r="F6" i="4"/>
  <c r="C12" i="1" l="1"/>
  <c r="C13" i="4"/>
  <c r="F3"/>
  <c r="F4" i="1"/>
  <c r="F3"/>
  <c r="G6" i="4"/>
  <c r="F4" l="1"/>
  <c r="F7" i="1"/>
  <c r="F9" i="4"/>
  <c r="F8" i="1" l="1"/>
  <c r="F9"/>
  <c r="F10"/>
  <c r="F11" i="4"/>
  <c r="F8"/>
  <c r="F10" s="1"/>
</calcChain>
</file>

<file path=xl/sharedStrings.xml><?xml version="1.0" encoding="utf-8"?>
<sst xmlns="http://schemas.openxmlformats.org/spreadsheetml/2006/main" count="41" uniqueCount="31">
  <si>
    <t>S</t>
  </si>
  <si>
    <t>rUSD</t>
  </si>
  <si>
    <t>rEUR</t>
  </si>
  <si>
    <t>m</t>
  </si>
  <si>
    <t>vol</t>
  </si>
  <si>
    <t>T</t>
  </si>
  <si>
    <t>DFEUR</t>
  </si>
  <si>
    <t>DFUSD</t>
  </si>
  <si>
    <t>F</t>
  </si>
  <si>
    <t>K</t>
  </si>
  <si>
    <t>NEUR</t>
  </si>
  <si>
    <t>NUSD</t>
  </si>
  <si>
    <t>p with Call</t>
  </si>
  <si>
    <t>p with Put</t>
  </si>
  <si>
    <t>%USD</t>
  </si>
  <si>
    <t>USD pips per EUR</t>
  </si>
  <si>
    <t>prime en USD</t>
  </si>
  <si>
    <t>prime en EUR</t>
  </si>
  <si>
    <t>FXDelta</t>
  </si>
  <si>
    <t>F+1pips</t>
  </si>
  <si>
    <t>FX Delta %EUR prime EUR</t>
  </si>
  <si>
    <t>FX Delta %EUR prime USD</t>
  </si>
  <si>
    <t>FX Delta %USD prime EUR</t>
  </si>
  <si>
    <t>FX Delta %USD prime USD</t>
  </si>
  <si>
    <t>Bump</t>
  </si>
  <si>
    <t>rJPY</t>
  </si>
  <si>
    <t>DFJPY</t>
  </si>
  <si>
    <t>JPY</t>
  </si>
  <si>
    <t>%JPY</t>
  </si>
  <si>
    <t>JPY pips per USD</t>
  </si>
  <si>
    <t>USD pips per JPY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</si>
</sst>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4" formatCode="_-* #,##0\ _€_-;\-* #,##0\ _€_-;_-* &quot;-&quot;??\ _€_-;_-@_-"/>
    <numFmt numFmtId="165" formatCode="_-* #,##0.0000\ _€_-;\-* #,##0.0000\ _€_-;_-* &quot;-&quot;??\ _€_-;_-@_-"/>
    <numFmt numFmtId="166" formatCode="0.0000"/>
    <numFmt numFmtId="167" formatCode="_-* #,##0.0000\ _€_-;\-* #,##0.0000\ _€_-;_-* &quot;-&quot;????\ _€_-;_-@_-"/>
    <numFmt numFmtId="168" formatCode="_-* #,##0.00000\ _€_-;\-* #,##0.00000\ _€_-;_-* &quot;-&quot;??\ _€_-;_-@_-"/>
    <numFmt numFmtId="169" formatCode="0.0000%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9" fontId="0" fillId="0" borderId="0" xfId="0" applyNumberFormat="1"/>
    <xf numFmtId="10" fontId="0" fillId="0" borderId="0" xfId="0" applyNumberFormat="1"/>
    <xf numFmtId="10" fontId="0" fillId="0" borderId="0" xfId="2" applyNumberFormat="1" applyFont="1"/>
    <xf numFmtId="43" fontId="0" fillId="0" borderId="0" xfId="1" applyFont="1"/>
    <xf numFmtId="164" fontId="0" fillId="0" borderId="0" xfId="1" applyNumberFormat="1" applyFont="1"/>
    <xf numFmtId="165" fontId="0" fillId="0" borderId="0" xfId="1" applyNumberFormat="1" applyFont="1"/>
    <xf numFmtId="166" fontId="0" fillId="0" borderId="0" xfId="0" applyNumberFormat="1"/>
    <xf numFmtId="0" fontId="2" fillId="0" borderId="0" xfId="0" applyFont="1"/>
    <xf numFmtId="164" fontId="0" fillId="0" borderId="0" xfId="0" applyNumberFormat="1"/>
    <xf numFmtId="167" fontId="0" fillId="0" borderId="0" xfId="0" applyNumberFormat="1"/>
    <xf numFmtId="168" fontId="0" fillId="0" borderId="0" xfId="1" applyNumberFormat="1" applyFont="1"/>
    <xf numFmtId="2" fontId="0" fillId="0" borderId="0" xfId="0" applyNumberFormat="1"/>
    <xf numFmtId="169" fontId="0" fillId="0" borderId="0" xfId="2" applyNumberFormat="1" applyFon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C0C0C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B3:F16"/>
  <sheetViews>
    <sheetView tabSelected="1" topLeftCell="E7" zoomScale="200" zoomScaleNormal="200" workbookViewId="0">
      <selection activeCell="F12" sqref="F12"/>
    </sheetView>
  </sheetViews>
  <sheetFormatPr baseColWidth="10" defaultRowHeight="15"/>
  <cols>
    <col min="3" max="3" width="19.7109375" bestFit="1" customWidth="1"/>
    <col min="4" max="4" width="5.42578125" customWidth="1"/>
    <col min="5" max="5" width="15.7109375" bestFit="1" customWidth="1"/>
    <col min="6" max="6" width="23.85546875" bestFit="1" customWidth="1"/>
  </cols>
  <sheetData>
    <row r="3" spans="2:6">
      <c r="B3" s="8" t="s">
        <v>0</v>
      </c>
      <c r="C3" s="6">
        <v>119.76</v>
      </c>
      <c r="E3" s="8" t="s">
        <v>12</v>
      </c>
      <c r="F3" s="9">
        <f>BS(C12,C16,C8,C7,1)*C14*C11</f>
        <v>519086662.29297066</v>
      </c>
    </row>
    <row r="4" spans="2:6">
      <c r="B4" s="8" t="s">
        <v>25</v>
      </c>
      <c r="C4" s="3">
        <v>1.1000000000000001E-3</v>
      </c>
      <c r="E4" s="8" t="s">
        <v>13</v>
      </c>
      <c r="F4" s="5">
        <f>BS(1/C12,1/C16,C8,C7,-1)*C15*C10*C3</f>
        <v>519086662.2929709</v>
      </c>
    </row>
    <row r="5" spans="2:6">
      <c r="B5" s="8" t="s">
        <v>1</v>
      </c>
      <c r="C5" s="2">
        <v>4.4999999999999997E-3</v>
      </c>
    </row>
    <row r="6" spans="2:6">
      <c r="B6" s="8" t="s">
        <v>3</v>
      </c>
      <c r="C6" s="2">
        <v>3.8999999999999998E-3</v>
      </c>
    </row>
    <row r="7" spans="2:6">
      <c r="B7" s="8" t="s">
        <v>5</v>
      </c>
      <c r="C7" s="1">
        <v>1</v>
      </c>
      <c r="E7" s="8" t="s">
        <v>27</v>
      </c>
      <c r="F7" s="9">
        <f>F3</f>
        <v>519086662.29297066</v>
      </c>
    </row>
    <row r="8" spans="2:6">
      <c r="B8" s="8" t="s">
        <v>4</v>
      </c>
      <c r="C8" s="1">
        <v>0.12</v>
      </c>
      <c r="E8" s="8" t="s">
        <v>15</v>
      </c>
      <c r="F8" s="5">
        <f>F7/C3</f>
        <v>4334390.9677101756</v>
      </c>
    </row>
    <row r="9" spans="2:6">
      <c r="E9" s="8" t="s">
        <v>28</v>
      </c>
      <c r="F9" s="13">
        <f>F7/C15</f>
        <v>4.3257221857747552E-2</v>
      </c>
    </row>
    <row r="10" spans="2:6">
      <c r="B10" s="8" t="s">
        <v>7</v>
      </c>
      <c r="C10" s="6">
        <f>EXP(-C5)</f>
        <v>0.99551010982957056</v>
      </c>
      <c r="E10" s="8" t="s">
        <v>14</v>
      </c>
      <c r="F10" s="13">
        <f>F7/C14/C3</f>
        <v>4.3343909677101757E-2</v>
      </c>
    </row>
    <row r="11" spans="2:6">
      <c r="B11" s="8" t="s">
        <v>26</v>
      </c>
      <c r="C11" s="6">
        <f>EXP((-C4+C6)*C7)</f>
        <v>1.0028039236612292</v>
      </c>
      <c r="E11" s="8" t="s">
        <v>29</v>
      </c>
      <c r="F11" s="12">
        <f>F7/C14*10000</f>
        <v>51908.666229297065</v>
      </c>
    </row>
    <row r="12" spans="2:6">
      <c r="B12" s="8" t="s">
        <v>8</v>
      </c>
      <c r="C12" s="6">
        <f>C10/C11*C3</f>
        <v>118.88893525457074</v>
      </c>
      <c r="E12" s="8" t="s">
        <v>30</v>
      </c>
      <c r="F12" s="12">
        <f>F8/C15*10000</f>
        <v>3.6119924730918131</v>
      </c>
    </row>
    <row r="14" spans="2:6">
      <c r="B14" s="8" t="s">
        <v>10</v>
      </c>
      <c r="C14" s="4">
        <v>100000000</v>
      </c>
    </row>
    <row r="15" spans="2:6">
      <c r="B15" s="8" t="s">
        <v>11</v>
      </c>
      <c r="C15" s="4">
        <v>12000000000</v>
      </c>
    </row>
    <row r="16" spans="2:6">
      <c r="B16" s="8" t="s">
        <v>9</v>
      </c>
      <c r="C16" s="7">
        <f>C15/C14</f>
        <v>120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B3:G17"/>
  <sheetViews>
    <sheetView topLeftCell="B4" zoomScale="200" zoomScaleNormal="200" workbookViewId="0">
      <selection activeCell="G10" sqref="G10"/>
    </sheetView>
  </sheetViews>
  <sheetFormatPr baseColWidth="10" defaultRowHeight="15"/>
  <cols>
    <col min="3" max="3" width="19.7109375" bestFit="1" customWidth="1"/>
    <col min="4" max="4" width="9.28515625" bestFit="1" customWidth="1"/>
    <col min="5" max="5" width="23.5703125" bestFit="1" customWidth="1"/>
    <col min="6" max="6" width="17.140625" bestFit="1" customWidth="1"/>
  </cols>
  <sheetData>
    <row r="3" spans="2:7">
      <c r="B3" s="8" t="s">
        <v>0</v>
      </c>
      <c r="C3" s="11">
        <v>119.76</v>
      </c>
      <c r="E3" s="8" t="s">
        <v>16</v>
      </c>
      <c r="F3" s="9">
        <f>BS(C13,C17,C8,C7,1)*C11*C15</f>
        <v>565985676.98911524</v>
      </c>
    </row>
    <row r="4" spans="2:7">
      <c r="B4" s="8" t="s">
        <v>1</v>
      </c>
      <c r="C4" s="3">
        <v>1.1000000000000001E-3</v>
      </c>
      <c r="E4" s="8" t="s">
        <v>17</v>
      </c>
      <c r="F4" s="5">
        <f>F3/C3</f>
        <v>4725999.3068563398</v>
      </c>
    </row>
    <row r="5" spans="2:7">
      <c r="B5" s="8" t="s">
        <v>2</v>
      </c>
      <c r="C5" s="2">
        <v>4.1999999999999997E-3</v>
      </c>
    </row>
    <row r="6" spans="2:7">
      <c r="B6" s="8" t="s">
        <v>3</v>
      </c>
      <c r="C6" s="2">
        <v>3.8999999999999998E-3</v>
      </c>
      <c r="E6" s="8" t="s">
        <v>18</v>
      </c>
      <c r="F6" s="3">
        <f>(BS(C14,C17,C8,C7,1)-BS(C13,C17,C8,C7,1))*C11/C12</f>
        <v>0.51991477888260418</v>
      </c>
      <c r="G6" s="3">
        <f>BSDelta(C13,C17,C8,C7,1)*C10</f>
        <v>0.51977619998382163</v>
      </c>
    </row>
    <row r="7" spans="2:7">
      <c r="B7" s="8" t="s">
        <v>5</v>
      </c>
      <c r="C7" s="1">
        <v>1</v>
      </c>
    </row>
    <row r="8" spans="2:7">
      <c r="B8" s="8" t="s">
        <v>4</v>
      </c>
      <c r="C8" s="1">
        <v>0.12</v>
      </c>
      <c r="E8" s="8" t="s">
        <v>20</v>
      </c>
      <c r="F8" s="3">
        <f>F9-F4/C15</f>
        <v>0.47251620691525825</v>
      </c>
    </row>
    <row r="9" spans="2:7">
      <c r="E9" s="8" t="s">
        <v>21</v>
      </c>
      <c r="F9" s="2">
        <f>G6</f>
        <v>0.51977619998382163</v>
      </c>
    </row>
    <row r="10" spans="2:7">
      <c r="B10" s="8" t="s">
        <v>6</v>
      </c>
      <c r="C10" s="6">
        <f>EXP(-C5+C6)</f>
        <v>0.99970004499550036</v>
      </c>
      <c r="E10" s="8" t="s">
        <v>22</v>
      </c>
      <c r="F10" s="3">
        <f>-F8*C3/C17</f>
        <v>-0.47157117450142771</v>
      </c>
    </row>
    <row r="11" spans="2:7">
      <c r="B11" s="8" t="s">
        <v>7</v>
      </c>
      <c r="C11" s="6">
        <f>EXP(-C4*C7)</f>
        <v>0.99890060477822762</v>
      </c>
      <c r="E11" s="8" t="s">
        <v>23</v>
      </c>
      <c r="F11" s="3">
        <f>-F9/C17*C3</f>
        <v>-0.51873664758385407</v>
      </c>
    </row>
    <row r="12" spans="2:7">
      <c r="B12" s="8" t="s">
        <v>24</v>
      </c>
      <c r="C12">
        <v>0.01</v>
      </c>
    </row>
    <row r="13" spans="2:7">
      <c r="B13" s="8" t="s">
        <v>8</v>
      </c>
      <c r="C13" s="6">
        <f>C10/C11*C3</f>
        <v>119.85584633342157</v>
      </c>
    </row>
    <row r="14" spans="2:7">
      <c r="B14" s="8" t="s">
        <v>19</v>
      </c>
      <c r="C14" s="10">
        <f>C10/C11*(C3+C12)</f>
        <v>119.86585433662242</v>
      </c>
    </row>
    <row r="15" spans="2:7">
      <c r="B15" s="8" t="s">
        <v>10</v>
      </c>
      <c r="C15" s="4">
        <v>100000000</v>
      </c>
    </row>
    <row r="16" spans="2:7">
      <c r="B16" s="8" t="s">
        <v>11</v>
      </c>
      <c r="C16" s="4">
        <v>12000000000</v>
      </c>
    </row>
    <row r="17" spans="2:3">
      <c r="B17" s="8" t="s">
        <v>9</v>
      </c>
      <c r="C17" s="7">
        <f>C16/C15</f>
        <v>120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Prime</vt:lpstr>
      <vt:lpstr>FXDelta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2014-04-14T06:18:50Z</dcterms:created>
  <dcterms:modified xsi:type="dcterms:W3CDTF">2015-04-06T15:55:25Z</dcterms:modified>
</cp:coreProperties>
</file>