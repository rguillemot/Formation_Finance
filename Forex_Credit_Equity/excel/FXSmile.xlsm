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ha\OneDrive\Documents\Mes Projets\Formation_Finance\Forex_Credit_Equity\excel\"/>
    </mc:Choice>
  </mc:AlternateContent>
  <xr:revisionPtr revIDLastSave="0" documentId="11_9C455C09F0BCC810D5367128EC50D5A86A25EE65" xr6:coauthVersionLast="41" xr6:coauthVersionMax="41" xr10:uidLastSave="{00000000-0000-0000-0000-000000000000}"/>
  <bookViews>
    <workbookView xWindow="-110" yWindow="-110" windowWidth="25820" windowHeight="14020" xr2:uid="{00000000-000D-0000-FFFF-FFFF00000000}"/>
  </bookViews>
  <sheets>
    <sheet name="Smile FX" sheetId="1" r:id="rId1"/>
    <sheet name="Spline" sheetId="2" r:id="rId2"/>
    <sheet name="Smile FX Spot + 1pips" sheetId="4" r:id="rId3"/>
    <sheet name="Spline Spot + 1 pips" sheetId="5" r:id="rId4"/>
    <sheet name="Smile View" sheetId="3" r:id="rId5"/>
    <sheet name="Delta" sheetId="7" r:id="rId6"/>
    <sheet name="Digit" sheetId="8" r:id="rId7"/>
  </sheets>
  <functionGroups builtInGroupCount="19"/>
  <definedNames>
    <definedName name="coeffa" localSheetId="3">'Spline Spot + 1 pips'!$F$10:$F$13</definedName>
    <definedName name="coeffa">Spline!$F$10:$F$13</definedName>
    <definedName name="coeffb" localSheetId="3">'Spline Spot + 1 pips'!$G$10:$G$13</definedName>
    <definedName name="coeffb">Spline!$G$10:$G$13</definedName>
    <definedName name="Ks" localSheetId="3">'Spline Spot + 1 pips'!$A$3:$A$7</definedName>
    <definedName name="Ks">Spline!$A$3:$A$7</definedName>
    <definedName name="Vols" localSheetId="3">'Spline Spot + 1 pips'!$B$3:$B$7</definedName>
    <definedName name="Vols">Spline!$B$3:$B$7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I2" i="4"/>
  <c r="B3" i="3"/>
  <c r="B3" i="8"/>
  <c r="I11" i="4"/>
  <c r="I10" i="4"/>
  <c r="I9" i="4"/>
  <c r="I8" i="4"/>
  <c r="I7" i="4"/>
  <c r="I6" i="4"/>
  <c r="I5" i="4"/>
  <c r="I4" i="4"/>
  <c r="I3" i="4"/>
  <c r="C14" i="7"/>
  <c r="D14" i="7"/>
  <c r="C13" i="7"/>
  <c r="D13" i="7"/>
  <c r="C12" i="7"/>
  <c r="D12" i="7"/>
  <c r="C11" i="7"/>
  <c r="D11" i="7"/>
  <c r="D10" i="7"/>
  <c r="C10" i="7"/>
  <c r="D20" i="7" l="1"/>
  <c r="D17" i="7"/>
  <c r="D18" i="7"/>
  <c r="D21" i="7"/>
  <c r="D19" i="7"/>
  <c r="A4" i="8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B1" i="8"/>
  <c r="B4" i="8" s="1"/>
  <c r="I14" i="4"/>
  <c r="I13" i="4"/>
  <c r="C8" i="4"/>
  <c r="B7" i="5" s="1"/>
  <c r="C7" i="4"/>
  <c r="B6" i="5" s="1"/>
  <c r="C6" i="4"/>
  <c r="B5" i="5" s="1"/>
  <c r="C5" i="4"/>
  <c r="B4" i="5" s="1"/>
  <c r="C4" i="4"/>
  <c r="B3" i="5" s="1"/>
  <c r="B5" i="8" l="1"/>
  <c r="D6" i="5"/>
  <c r="D4" i="5"/>
  <c r="D3" i="5"/>
  <c r="D5" i="5"/>
  <c r="C2" i="4"/>
  <c r="F14" i="7"/>
  <c r="F10" i="7"/>
  <c r="F13" i="7"/>
  <c r="F11" i="7"/>
  <c r="F12" i="7"/>
  <c r="B6" i="8" l="1"/>
  <c r="F8" i="4"/>
  <c r="D8" i="4" s="1"/>
  <c r="A7" i="5" s="1"/>
  <c r="F7" i="4"/>
  <c r="D7" i="4" s="1"/>
  <c r="A6" i="5" s="1"/>
  <c r="F6" i="4"/>
  <c r="D6" i="4" s="1"/>
  <c r="A5" i="5" s="1"/>
  <c r="F5" i="4"/>
  <c r="D5" i="4" s="1"/>
  <c r="A4" i="5" s="1"/>
  <c r="F4" i="4"/>
  <c r="D4" i="4" s="1"/>
  <c r="A3" i="5" s="1"/>
  <c r="E6" i="4"/>
  <c r="E5" i="4"/>
  <c r="E8" i="4"/>
  <c r="E7" i="4"/>
  <c r="E4" i="4"/>
  <c r="C6" i="5" l="1"/>
  <c r="J7" i="5" s="1"/>
  <c r="B7" i="8"/>
  <c r="C3" i="5"/>
  <c r="E4" i="5" s="1"/>
  <c r="C5" i="5"/>
  <c r="C4" i="5"/>
  <c r="H7" i="5" l="1"/>
  <c r="I6" i="5"/>
  <c r="I7" i="5"/>
  <c r="H6" i="5"/>
  <c r="B8" i="8"/>
  <c r="F4" i="5"/>
  <c r="J3" i="5"/>
  <c r="J6" i="5"/>
  <c r="F3" i="5"/>
  <c r="E3" i="5"/>
  <c r="G6" i="5"/>
  <c r="H5" i="5"/>
  <c r="F5" i="5"/>
  <c r="G4" i="5"/>
  <c r="G5" i="5"/>
  <c r="J5" i="5"/>
  <c r="J4" i="5"/>
  <c r="E10" i="5" l="1" a="1"/>
  <c r="E10" i="5" s="1"/>
  <c r="F10" i="5" s="1"/>
  <c r="B9" i="8"/>
  <c r="B1" i="3"/>
  <c r="B4" i="3" s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E14" i="5" l="1"/>
  <c r="G13" i="5" s="1"/>
  <c r="E13" i="5"/>
  <c r="F13" i="5" s="1"/>
  <c r="E12" i="5"/>
  <c r="F12" i="5" s="1"/>
  <c r="E11" i="5"/>
  <c r="G10" i="5" s="1"/>
  <c r="B10" i="8"/>
  <c r="G12" i="5"/>
  <c r="G11" i="5"/>
  <c r="B5" i="3"/>
  <c r="F11" i="5" l="1"/>
  <c r="B11" i="8"/>
  <c r="B6" i="3"/>
  <c r="B7" i="3" s="1"/>
  <c r="C8" i="1"/>
  <c r="B5" i="2"/>
  <c r="I14" i="1"/>
  <c r="I13" i="1"/>
  <c r="D7" i="3"/>
  <c r="D15" i="3"/>
  <c r="D23" i="3"/>
  <c r="D6" i="3"/>
  <c r="D14" i="3"/>
  <c r="D22" i="3"/>
  <c r="D10" i="3"/>
  <c r="D13" i="3"/>
  <c r="D12" i="3"/>
  <c r="D9" i="3"/>
  <c r="D17" i="3"/>
  <c r="D5" i="7"/>
  <c r="D8" i="3"/>
  <c r="D16" i="3"/>
  <c r="D3" i="3"/>
  <c r="D11" i="3"/>
  <c r="D19" i="3"/>
  <c r="E6" i="1"/>
  <c r="D18" i="3"/>
  <c r="D5" i="3"/>
  <c r="D21" i="3"/>
  <c r="D4" i="3"/>
  <c r="D20" i="3"/>
  <c r="E17" i="7" l="1"/>
  <c r="B12" i="8"/>
  <c r="B8" i="3"/>
  <c r="B7" i="2"/>
  <c r="B3" i="2"/>
  <c r="B6" i="2"/>
  <c r="B4" i="2"/>
  <c r="C2" i="1"/>
  <c r="F6" i="1" s="1"/>
  <c r="D6" i="1" s="1"/>
  <c r="B5" i="7" s="1"/>
  <c r="I13" i="7"/>
  <c r="H10" i="7"/>
  <c r="E13" i="7"/>
  <c r="H14" i="7"/>
  <c r="H12" i="7"/>
  <c r="I11" i="7"/>
  <c r="E12" i="7"/>
  <c r="I14" i="7"/>
  <c r="I12" i="7"/>
  <c r="I10" i="7"/>
  <c r="E11" i="7"/>
  <c r="H13" i="7"/>
  <c r="H11" i="7"/>
  <c r="E14" i="7"/>
  <c r="E10" i="7"/>
  <c r="F5" i="7"/>
  <c r="G10" i="7" l="1"/>
  <c r="G14" i="7"/>
  <c r="J13" i="7"/>
  <c r="G11" i="7"/>
  <c r="G12" i="7"/>
  <c r="J12" i="7"/>
  <c r="J14" i="7"/>
  <c r="G13" i="7"/>
  <c r="J10" i="7"/>
  <c r="J11" i="7"/>
  <c r="A5" i="2"/>
  <c r="F5" i="1"/>
  <c r="D5" i="1" s="1"/>
  <c r="F7" i="1"/>
  <c r="D7" i="1" s="1"/>
  <c r="F4" i="1"/>
  <c r="D4" i="1" s="1"/>
  <c r="B3" i="7" s="1"/>
  <c r="F8" i="1"/>
  <c r="D8" i="1" s="1"/>
  <c r="B13" i="8"/>
  <c r="D6" i="2"/>
  <c r="D5" i="2"/>
  <c r="D3" i="2"/>
  <c r="D4" i="2"/>
  <c r="B9" i="3"/>
  <c r="D3" i="7"/>
  <c r="E4" i="1"/>
  <c r="E8" i="1"/>
  <c r="E5" i="1"/>
  <c r="E7" i="1"/>
  <c r="A4" i="2" l="1"/>
  <c r="B4" i="7"/>
  <c r="A7" i="2"/>
  <c r="B7" i="7"/>
  <c r="A6" i="2"/>
  <c r="B6" i="7"/>
  <c r="A3" i="2"/>
  <c r="C3" i="2" s="1"/>
  <c r="B14" i="8"/>
  <c r="C4" i="2"/>
  <c r="C6" i="2"/>
  <c r="C5" i="2"/>
  <c r="B10" i="3"/>
  <c r="D6" i="7"/>
  <c r="D7" i="7"/>
  <c r="F3" i="7"/>
  <c r="D4" i="7"/>
  <c r="E21" i="7" l="1"/>
  <c r="E19" i="7"/>
  <c r="E18" i="7"/>
  <c r="E20" i="7"/>
  <c r="J5" i="2"/>
  <c r="B15" i="8"/>
  <c r="J6" i="2"/>
  <c r="I7" i="2"/>
  <c r="H7" i="2"/>
  <c r="I6" i="2"/>
  <c r="E4" i="2"/>
  <c r="F4" i="2"/>
  <c r="F3" i="2"/>
  <c r="E3" i="2"/>
  <c r="J3" i="2"/>
  <c r="G6" i="2"/>
  <c r="H5" i="2"/>
  <c r="H6" i="2"/>
  <c r="G4" i="2"/>
  <c r="F5" i="2"/>
  <c r="G5" i="2"/>
  <c r="J7" i="2"/>
  <c r="J4" i="2"/>
  <c r="B11" i="3"/>
  <c r="F7" i="7"/>
  <c r="F4" i="7"/>
  <c r="F6" i="7"/>
  <c r="B16" i="8" l="1"/>
  <c r="E10" i="2" a="1"/>
  <c r="E10" i="2" s="1"/>
  <c r="F10" i="2" s="1"/>
  <c r="B12" i="3"/>
  <c r="B17" i="8" l="1"/>
  <c r="E13" i="2"/>
  <c r="F13" i="2" s="1"/>
  <c r="E12" i="2"/>
  <c r="G11" i="2" s="1"/>
  <c r="E11" i="2"/>
  <c r="F11" i="2" s="1"/>
  <c r="E14" i="2"/>
  <c r="G13" i="2" s="1"/>
  <c r="B13" i="3"/>
  <c r="F12" i="2" l="1"/>
  <c r="B18" i="8"/>
  <c r="G12" i="2"/>
  <c r="G10" i="2"/>
  <c r="B14" i="3"/>
  <c r="C6" i="7"/>
  <c r="C12" i="8"/>
  <c r="C3" i="7"/>
  <c r="C7" i="3"/>
  <c r="C8" i="3"/>
  <c r="C6" i="3"/>
  <c r="C16" i="8"/>
  <c r="C5" i="8"/>
  <c r="C7" i="8"/>
  <c r="H3" i="7"/>
  <c r="C11" i="3"/>
  <c r="C8" i="8"/>
  <c r="C12" i="3"/>
  <c r="G12" i="8"/>
  <c r="G5" i="8"/>
  <c r="F8" i="8"/>
  <c r="D6" i="8"/>
  <c r="D11" i="8"/>
  <c r="D17" i="8"/>
  <c r="H6" i="7"/>
  <c r="C10" i="8"/>
  <c r="D18" i="8"/>
  <c r="C6" i="8"/>
  <c r="E6" i="8" s="1"/>
  <c r="C7" i="7"/>
  <c r="C4" i="3"/>
  <c r="D4" i="8"/>
  <c r="C13" i="3"/>
  <c r="D15" i="8"/>
  <c r="D9" i="8"/>
  <c r="C4" i="7"/>
  <c r="F12" i="8"/>
  <c r="G10" i="8"/>
  <c r="G16" i="8"/>
  <c r="F7" i="8"/>
  <c r="D5" i="8"/>
  <c r="C13" i="8"/>
  <c r="C14" i="3"/>
  <c r="C4" i="8"/>
  <c r="E4" i="8" s="1"/>
  <c r="D7" i="8"/>
  <c r="C10" i="3"/>
  <c r="C5" i="7"/>
  <c r="D3" i="8"/>
  <c r="D14" i="8"/>
  <c r="C9" i="3"/>
  <c r="C11" i="8"/>
  <c r="C18" i="8"/>
  <c r="C15" i="8"/>
  <c r="I6" i="7"/>
  <c r="G13" i="8"/>
  <c r="G4" i="8"/>
  <c r="F10" i="8"/>
  <c r="G6" i="8"/>
  <c r="F16" i="8"/>
  <c r="F5" i="8"/>
  <c r="E7" i="8"/>
  <c r="G11" i="8"/>
  <c r="D8" i="8"/>
  <c r="E8" i="8" s="1"/>
  <c r="C3" i="3"/>
  <c r="C14" i="8"/>
  <c r="D13" i="8"/>
  <c r="C9" i="8"/>
  <c r="C3" i="8"/>
  <c r="H5" i="7"/>
  <c r="C17" i="8"/>
  <c r="C5" i="3"/>
  <c r="I7" i="7"/>
  <c r="D16" i="8"/>
  <c r="E16" i="8" s="1"/>
  <c r="D10" i="8"/>
  <c r="E10" i="8" s="1"/>
  <c r="D12" i="8"/>
  <c r="I4" i="7"/>
  <c r="E12" i="8"/>
  <c r="G14" i="8"/>
  <c r="F4" i="8"/>
  <c r="F9" i="8"/>
  <c r="E3" i="8"/>
  <c r="F6" i="8"/>
  <c r="F17" i="8"/>
  <c r="E5" i="8"/>
  <c r="G7" i="8"/>
  <c r="G18" i="8"/>
  <c r="G8" i="8"/>
  <c r="G15" i="8"/>
  <c r="E13" i="8"/>
  <c r="F13" i="8"/>
  <c r="E11" i="8"/>
  <c r="F11" i="8"/>
  <c r="F18" i="8"/>
  <c r="E18" i="8"/>
  <c r="E15" i="8"/>
  <c r="F15" i="8"/>
  <c r="E14" i="8"/>
  <c r="F14" i="8"/>
  <c r="G9" i="8"/>
  <c r="E9" i="8"/>
  <c r="G3" i="8"/>
  <c r="F3" i="8"/>
  <c r="G17" i="8"/>
  <c r="E17" i="8"/>
  <c r="H15" i="8" l="1"/>
  <c r="H8" i="8"/>
  <c r="H18" i="8"/>
  <c r="H11" i="8"/>
  <c r="H7" i="8"/>
  <c r="H5" i="8"/>
  <c r="H17" i="8"/>
  <c r="H16" i="8"/>
  <c r="H6" i="8"/>
  <c r="H3" i="8"/>
  <c r="H9" i="8"/>
  <c r="H10" i="8"/>
  <c r="H4" i="8"/>
  <c r="H14" i="8"/>
  <c r="H12" i="8"/>
  <c r="H13" i="8"/>
  <c r="J6" i="7"/>
  <c r="B19" i="8"/>
  <c r="B15" i="3"/>
  <c r="H7" i="7"/>
  <c r="E7" i="7"/>
  <c r="C15" i="3"/>
  <c r="D19" i="8"/>
  <c r="I5" i="7"/>
  <c r="E5" i="7"/>
  <c r="I3" i="7"/>
  <c r="E3" i="7"/>
  <c r="H4" i="7"/>
  <c r="E4" i="7"/>
  <c r="E6" i="7"/>
  <c r="C19" i="8"/>
  <c r="E19" i="8"/>
  <c r="F19" i="8"/>
  <c r="G19" i="8"/>
  <c r="J3" i="7" l="1"/>
  <c r="J7" i="7"/>
  <c r="H19" i="8"/>
  <c r="J4" i="7"/>
  <c r="J5" i="7"/>
  <c r="G6" i="7"/>
  <c r="G7" i="7"/>
  <c r="G5" i="7"/>
  <c r="G3" i="7"/>
  <c r="G4" i="7"/>
  <c r="B20" i="8"/>
  <c r="B16" i="3"/>
  <c r="C20" i="8"/>
  <c r="G20" i="8"/>
  <c r="D20" i="8"/>
  <c r="F20" i="8"/>
  <c r="C16" i="3"/>
  <c r="E20" i="8"/>
  <c r="H20" i="8" l="1"/>
  <c r="B21" i="8"/>
  <c r="B17" i="3"/>
  <c r="C17" i="3"/>
  <c r="D21" i="8"/>
  <c r="C21" i="8"/>
  <c r="E21" i="8"/>
  <c r="F21" i="8"/>
  <c r="G21" i="8"/>
  <c r="H21" i="8" l="1"/>
  <c r="B22" i="8"/>
  <c r="B18" i="3"/>
  <c r="C18" i="3"/>
  <c r="C22" i="8"/>
  <c r="D22" i="8"/>
  <c r="E22" i="8" s="1"/>
  <c r="G22" i="8"/>
  <c r="F22" i="8"/>
  <c r="H22" i="8" l="1"/>
  <c r="B23" i="8"/>
  <c r="B19" i="3"/>
  <c r="C23" i="8"/>
  <c r="F23" i="8"/>
  <c r="G23" i="8"/>
  <c r="D23" i="8"/>
  <c r="E23" i="8" s="1"/>
  <c r="C19" i="3"/>
  <c r="H23" i="8" l="1"/>
  <c r="B20" i="3"/>
  <c r="C20" i="3"/>
  <c r="B21" i="3" l="1"/>
  <c r="C21" i="3"/>
  <c r="B22" i="3" l="1"/>
  <c r="C22" i="3"/>
  <c r="B23" i="3" l="1"/>
  <c r="C23" i="3"/>
</calcChain>
</file>

<file path=xl/sharedStrings.xml><?xml version="1.0" encoding="utf-8"?>
<sst xmlns="http://schemas.openxmlformats.org/spreadsheetml/2006/main" count="100" uniqueCount="39">
  <si>
    <t>EURUSD</t>
  </si>
  <si>
    <t>rUSD</t>
  </si>
  <si>
    <t>rEUR</t>
  </si>
  <si>
    <t>m</t>
  </si>
  <si>
    <t>T</t>
  </si>
  <si>
    <t>RR25</t>
  </si>
  <si>
    <t>ATM</t>
  </si>
  <si>
    <t>RR10</t>
  </si>
  <si>
    <t>BF25</t>
  </si>
  <si>
    <t>BF10</t>
  </si>
  <si>
    <t>DFEUR</t>
  </si>
  <si>
    <t>DFUSD</t>
  </si>
  <si>
    <t>Fwd</t>
  </si>
  <si>
    <t>10DeltaPut</t>
  </si>
  <si>
    <t>25DeltaPut</t>
  </si>
  <si>
    <t>25DeltaCall</t>
  </si>
  <si>
    <t>10DeltaCall</t>
  </si>
  <si>
    <t>Vol</t>
  </si>
  <si>
    <t>K</t>
  </si>
  <si>
    <t>Delta</t>
  </si>
  <si>
    <t>Vols</t>
  </si>
  <si>
    <t>Deltax</t>
  </si>
  <si>
    <t>Deltay</t>
  </si>
  <si>
    <t>k</t>
  </si>
  <si>
    <t>a</t>
  </si>
  <si>
    <t>b</t>
  </si>
  <si>
    <t>Vol +1bp</t>
  </si>
  <si>
    <t>Strike</t>
  </si>
  <si>
    <t>Vol Shift</t>
  </si>
  <si>
    <t>Prix</t>
  </si>
  <si>
    <t>Prix Shift</t>
  </si>
  <si>
    <t>Delta BS</t>
  </si>
  <si>
    <t>Vega BS</t>
  </si>
  <si>
    <t>Digit BS</t>
  </si>
  <si>
    <t>Digit Smile</t>
  </si>
  <si>
    <t>Smile</t>
  </si>
  <si>
    <t>Smile Shift</t>
  </si>
  <si>
    <t>Mkt</t>
  </si>
  <si>
    <t>Quote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</si>
</sst>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\ _€_-;\-* #,##0.00\ _€_-;_-* &quot;-&quot;??\ _€_-;_-@_-"/>
    <numFmt numFmtId="164" formatCode="0.0000"/>
    <numFmt numFmtId="165" formatCode="_-* #,##0.0000\ _€_-;\-* #,##0.0000\ _€_-;_-* &quot;-&quot;??\ _€_-;_-@_-"/>
    <numFmt numFmtId="166" formatCode="0.0000%"/>
    <numFmt numFmtId="167" formatCode="0.000000%"/>
    <numFmt numFmtId="168" formatCode="0.0%"/>
    <numFmt numFmtId="169" formatCode="0.0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9" fontId="0" fillId="0" borderId="0" xfId="0" applyNumberFormat="1"/>
    <xf numFmtId="0" fontId="2" fillId="0" borderId="0" xfId="0" applyFont="1"/>
    <xf numFmtId="10" fontId="0" fillId="0" borderId="0" xfId="0" applyNumberFormat="1"/>
    <xf numFmtId="164" fontId="0" fillId="0" borderId="0" xfId="0" applyNumberFormat="1"/>
    <xf numFmtId="10" fontId="0" fillId="0" borderId="0" xfId="2" applyNumberFormat="1" applyFont="1"/>
    <xf numFmtId="43" fontId="0" fillId="0" borderId="1" xfId="1" applyFont="1" applyBorder="1"/>
    <xf numFmtId="43" fontId="0" fillId="0" borderId="2" xfId="1" applyFont="1" applyBorder="1"/>
    <xf numFmtId="43" fontId="0" fillId="0" borderId="3" xfId="1" applyFont="1" applyBorder="1"/>
    <xf numFmtId="43" fontId="0" fillId="0" borderId="0" xfId="1" applyFont="1"/>
    <xf numFmtId="43" fontId="0" fillId="0" borderId="4" xfId="1" applyFont="1" applyBorder="1"/>
    <xf numFmtId="43" fontId="0" fillId="0" borderId="5" xfId="1" applyFont="1" applyBorder="1"/>
    <xf numFmtId="43" fontId="0" fillId="0" borderId="6" xfId="1" applyFont="1" applyBorder="1"/>
    <xf numFmtId="43" fontId="0" fillId="0" borderId="7" xfId="1" applyFont="1" applyBorder="1"/>
    <xf numFmtId="10" fontId="0" fillId="0" borderId="9" xfId="2" applyNumberFormat="1" applyFont="1" applyBorder="1"/>
    <xf numFmtId="10" fontId="0" fillId="0" borderId="9" xfId="0" applyNumberFormat="1" applyBorder="1"/>
    <xf numFmtId="0" fontId="0" fillId="0" borderId="8" xfId="0" applyBorder="1"/>
    <xf numFmtId="165" fontId="0" fillId="0" borderId="0" xfId="1" applyNumberFormat="1" applyFont="1"/>
    <xf numFmtId="166" fontId="0" fillId="0" borderId="0" xfId="2" applyNumberFormat="1" applyFont="1"/>
    <xf numFmtId="168" fontId="0" fillId="0" borderId="0" xfId="2" applyNumberFormat="1" applyFont="1"/>
    <xf numFmtId="167" fontId="2" fillId="0" borderId="0" xfId="0" applyNumberFormat="1" applyFont="1"/>
    <xf numFmtId="10" fontId="3" fillId="0" borderId="0" xfId="2" applyNumberFormat="1" applyFont="1"/>
    <xf numFmtId="169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Smile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'Smile View'!$C$2</c:f>
              <c:strCache>
                <c:ptCount val="1"/>
                <c:pt idx="0">
                  <c:v>Smile</c:v>
                </c:pt>
              </c:strCache>
            </c:strRef>
          </c:tx>
          <c:marker>
            <c:symbol val="none"/>
          </c:marker>
          <c:xVal>
            <c:numRef>
              <c:f>'Smile View'!$B$3:$B$23</c:f>
              <c:numCache>
                <c:formatCode>General</c:formatCode>
                <c:ptCount val="21"/>
                <c:pt idx="0">
                  <c:v>0.9</c:v>
                </c:pt>
                <c:pt idx="1">
                  <c:v>0.96000000000000008</c:v>
                </c:pt>
                <c:pt idx="2">
                  <c:v>1.02</c:v>
                </c:pt>
                <c:pt idx="3">
                  <c:v>1.08</c:v>
                </c:pt>
                <c:pt idx="4">
                  <c:v>1.1400000000000001</c:v>
                </c:pt>
                <c:pt idx="5">
                  <c:v>1.2000000000000002</c:v>
                </c:pt>
                <c:pt idx="6">
                  <c:v>1.2600000000000002</c:v>
                </c:pt>
                <c:pt idx="7">
                  <c:v>1.3200000000000003</c:v>
                </c:pt>
                <c:pt idx="8">
                  <c:v>1.3800000000000003</c:v>
                </c:pt>
                <c:pt idx="9">
                  <c:v>1.4400000000000004</c:v>
                </c:pt>
                <c:pt idx="10">
                  <c:v>1.5000000000000004</c:v>
                </c:pt>
                <c:pt idx="11">
                  <c:v>1.5600000000000005</c:v>
                </c:pt>
                <c:pt idx="12">
                  <c:v>1.6200000000000006</c:v>
                </c:pt>
                <c:pt idx="13">
                  <c:v>1.6800000000000006</c:v>
                </c:pt>
                <c:pt idx="14">
                  <c:v>1.7400000000000007</c:v>
                </c:pt>
                <c:pt idx="15">
                  <c:v>1.8000000000000007</c:v>
                </c:pt>
                <c:pt idx="16">
                  <c:v>1.8600000000000008</c:v>
                </c:pt>
                <c:pt idx="17">
                  <c:v>1.9200000000000008</c:v>
                </c:pt>
                <c:pt idx="18">
                  <c:v>1.9800000000000009</c:v>
                </c:pt>
                <c:pt idx="19">
                  <c:v>2.0400000000000009</c:v>
                </c:pt>
                <c:pt idx="20">
                  <c:v>2.100000000000001</c:v>
                </c:pt>
              </c:numCache>
            </c:numRef>
          </c:xVal>
          <c:yVal>
            <c:numRef>
              <c:f>'Smile View'!$C$3:$C$23</c:f>
              <c:numCache>
                <c:formatCode>0.00%</c:formatCode>
                <c:ptCount val="21"/>
                <c:pt idx="0">
                  <c:v>0.2366778379682884</c:v>
                </c:pt>
                <c:pt idx="1">
                  <c:v>0.22122925785558487</c:v>
                </c:pt>
                <c:pt idx="2">
                  <c:v>0.20578067774288136</c:v>
                </c:pt>
                <c:pt idx="3">
                  <c:v>0.19033209763017789</c:v>
                </c:pt>
                <c:pt idx="4">
                  <c:v>0.17455438272063489</c:v>
                </c:pt>
                <c:pt idx="5">
                  <c:v>0.15844551405181162</c:v>
                </c:pt>
                <c:pt idx="6">
                  <c:v>0.14354030926534311</c:v>
                </c:pt>
                <c:pt idx="7">
                  <c:v>0.13080134476217989</c:v>
                </c:pt>
                <c:pt idx="8">
                  <c:v>0.1217131638438973</c:v>
                </c:pt>
                <c:pt idx="9">
                  <c:v>0.11785961236251641</c:v>
                </c:pt>
                <c:pt idx="10">
                  <c:v>0.11906370095136366</c:v>
                </c:pt>
                <c:pt idx="11">
                  <c:v>0.12412117313941089</c:v>
                </c:pt>
                <c:pt idx="12">
                  <c:v>0.13174285108731984</c:v>
                </c:pt>
                <c:pt idx="13">
                  <c:v>0.1404962243371958</c:v>
                </c:pt>
                <c:pt idx="14">
                  <c:v>0.14793965293996394</c:v>
                </c:pt>
                <c:pt idx="15">
                  <c:v>0.15538308154273212</c:v>
                </c:pt>
                <c:pt idx="16">
                  <c:v>0.16282651014550031</c:v>
                </c:pt>
                <c:pt idx="17">
                  <c:v>0.17026993874826837</c:v>
                </c:pt>
                <c:pt idx="18">
                  <c:v>0.1777133673510366</c:v>
                </c:pt>
                <c:pt idx="19">
                  <c:v>0.18515679595380474</c:v>
                </c:pt>
                <c:pt idx="20">
                  <c:v>0.19260022455657289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BD-4E0D-B5A6-45BDD887056A}"/>
            </c:ext>
          </c:extLst>
        </c:ser>
        <c:ser>
          <c:idx val="1"/>
          <c:order val="1"/>
          <c:tx>
            <c:strRef>
              <c:f>'Smile View'!$D$2</c:f>
              <c:strCache>
                <c:ptCount val="1"/>
                <c:pt idx="0">
                  <c:v>Smile Shift</c:v>
                </c:pt>
              </c:strCache>
            </c:strRef>
          </c:tx>
          <c:marker>
            <c:symbol val="none"/>
          </c:marker>
          <c:xVal>
            <c:numRef>
              <c:f>'Smile View'!$B$3:$B$23</c:f>
              <c:numCache>
                <c:formatCode>General</c:formatCode>
                <c:ptCount val="21"/>
                <c:pt idx="0">
                  <c:v>0.9</c:v>
                </c:pt>
                <c:pt idx="1">
                  <c:v>0.96000000000000008</c:v>
                </c:pt>
                <c:pt idx="2">
                  <c:v>1.02</c:v>
                </c:pt>
                <c:pt idx="3">
                  <c:v>1.08</c:v>
                </c:pt>
                <c:pt idx="4">
                  <c:v>1.1400000000000001</c:v>
                </c:pt>
                <c:pt idx="5">
                  <c:v>1.2000000000000002</c:v>
                </c:pt>
                <c:pt idx="6">
                  <c:v>1.2600000000000002</c:v>
                </c:pt>
                <c:pt idx="7">
                  <c:v>1.3200000000000003</c:v>
                </c:pt>
                <c:pt idx="8">
                  <c:v>1.3800000000000003</c:v>
                </c:pt>
                <c:pt idx="9">
                  <c:v>1.4400000000000004</c:v>
                </c:pt>
                <c:pt idx="10">
                  <c:v>1.5000000000000004</c:v>
                </c:pt>
                <c:pt idx="11">
                  <c:v>1.5600000000000005</c:v>
                </c:pt>
                <c:pt idx="12">
                  <c:v>1.6200000000000006</c:v>
                </c:pt>
                <c:pt idx="13">
                  <c:v>1.6800000000000006</c:v>
                </c:pt>
                <c:pt idx="14">
                  <c:v>1.7400000000000007</c:v>
                </c:pt>
                <c:pt idx="15">
                  <c:v>1.8000000000000007</c:v>
                </c:pt>
                <c:pt idx="16">
                  <c:v>1.8600000000000008</c:v>
                </c:pt>
                <c:pt idx="17">
                  <c:v>1.9200000000000008</c:v>
                </c:pt>
                <c:pt idx="18">
                  <c:v>1.9800000000000009</c:v>
                </c:pt>
                <c:pt idx="19">
                  <c:v>2.0400000000000009</c:v>
                </c:pt>
                <c:pt idx="20">
                  <c:v>2.100000000000001</c:v>
                </c:pt>
              </c:numCache>
            </c:numRef>
          </c:xVal>
          <c:yVal>
            <c:numRef>
              <c:f>'Smile View'!$D$3:$D$23</c:f>
              <c:numCache>
                <c:formatCode>0.00%</c:formatCode>
                <c:ptCount val="21"/>
                <c:pt idx="0">
                  <c:v>0.23669452110015965</c:v>
                </c:pt>
                <c:pt idx="1">
                  <c:v>0.22124705319624752</c:v>
                </c:pt>
                <c:pt idx="2">
                  <c:v>0.20579958529233544</c:v>
                </c:pt>
                <c:pt idx="3">
                  <c:v>0.19035211738842336</c:v>
                </c:pt>
                <c:pt idx="4">
                  <c:v>0.17457682912866454</c:v>
                </c:pt>
                <c:pt idx="5">
                  <c:v>0.15846806063601193</c:v>
                </c:pt>
                <c:pt idx="6">
                  <c:v>0.14356148096405064</c:v>
                </c:pt>
                <c:pt idx="7">
                  <c:v>0.13081909817304302</c:v>
                </c:pt>
                <c:pt idx="8">
                  <c:v>0.12172422710225296</c:v>
                </c:pt>
                <c:pt idx="9">
                  <c:v>0.11786157163597868</c:v>
                </c:pt>
                <c:pt idx="10">
                  <c:v>0.11905770223561972</c:v>
                </c:pt>
                <c:pt idx="11">
                  <c:v>0.12410889735034832</c:v>
                </c:pt>
                <c:pt idx="12">
                  <c:v>0.13172640505683123</c:v>
                </c:pt>
                <c:pt idx="13">
                  <c:v>0.14048121958551271</c:v>
                </c:pt>
                <c:pt idx="14">
                  <c:v>0.14792411230429217</c:v>
                </c:pt>
                <c:pt idx="15">
                  <c:v>0.15536700502307166</c:v>
                </c:pt>
                <c:pt idx="16">
                  <c:v>0.16280989774185109</c:v>
                </c:pt>
                <c:pt idx="17">
                  <c:v>0.1702527904606306</c:v>
                </c:pt>
                <c:pt idx="18">
                  <c:v>0.17769568317941004</c:v>
                </c:pt>
                <c:pt idx="19">
                  <c:v>0.18513857589818955</c:v>
                </c:pt>
                <c:pt idx="20">
                  <c:v>0.19258146861696895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BD-4E0D-B5A6-45BDD8870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64736"/>
        <c:axId val="63766528"/>
      </c:scatterChart>
      <c:valAx>
        <c:axId val="63764736"/>
        <c:scaling>
          <c:orientation val="minMax"/>
          <c:max val="2.1"/>
          <c:min val="0.9"/>
        </c:scaling>
        <c:delete val="0"/>
        <c:axPos val="b"/>
        <c:numFmt formatCode="General" sourceLinked="1"/>
        <c:majorTickMark val="out"/>
        <c:minorTickMark val="none"/>
        <c:tickLblPos val="nextTo"/>
        <c:crossAx val="63766528"/>
        <c:crosses val="autoZero"/>
        <c:crossBetween val="midCat"/>
      </c:valAx>
      <c:valAx>
        <c:axId val="63766528"/>
        <c:scaling>
          <c:orientation val="minMax"/>
          <c:max val="0.25"/>
          <c:min val="8.000000000000004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637647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'Smile View'!$C$2</c:f>
              <c:strCache>
                <c:ptCount val="1"/>
                <c:pt idx="0">
                  <c:v>Smile</c:v>
                </c:pt>
              </c:strCache>
            </c:strRef>
          </c:tx>
          <c:marker>
            <c:symbol val="none"/>
          </c:marker>
          <c:xVal>
            <c:numRef>
              <c:f>'Smile View'!$B$3:$B$23</c:f>
              <c:numCache>
                <c:formatCode>General</c:formatCode>
                <c:ptCount val="21"/>
                <c:pt idx="0">
                  <c:v>0.9</c:v>
                </c:pt>
                <c:pt idx="1">
                  <c:v>0.96000000000000008</c:v>
                </c:pt>
                <c:pt idx="2">
                  <c:v>1.02</c:v>
                </c:pt>
                <c:pt idx="3">
                  <c:v>1.08</c:v>
                </c:pt>
                <c:pt idx="4">
                  <c:v>1.1400000000000001</c:v>
                </c:pt>
                <c:pt idx="5">
                  <c:v>1.2000000000000002</c:v>
                </c:pt>
                <c:pt idx="6">
                  <c:v>1.2600000000000002</c:v>
                </c:pt>
                <c:pt idx="7">
                  <c:v>1.3200000000000003</c:v>
                </c:pt>
                <c:pt idx="8">
                  <c:v>1.3800000000000003</c:v>
                </c:pt>
                <c:pt idx="9">
                  <c:v>1.4400000000000004</c:v>
                </c:pt>
                <c:pt idx="10">
                  <c:v>1.5000000000000004</c:v>
                </c:pt>
                <c:pt idx="11">
                  <c:v>1.5600000000000005</c:v>
                </c:pt>
                <c:pt idx="12">
                  <c:v>1.6200000000000006</c:v>
                </c:pt>
                <c:pt idx="13">
                  <c:v>1.6800000000000006</c:v>
                </c:pt>
                <c:pt idx="14">
                  <c:v>1.7400000000000007</c:v>
                </c:pt>
                <c:pt idx="15">
                  <c:v>1.8000000000000007</c:v>
                </c:pt>
                <c:pt idx="16">
                  <c:v>1.8600000000000008</c:v>
                </c:pt>
                <c:pt idx="17">
                  <c:v>1.9200000000000008</c:v>
                </c:pt>
                <c:pt idx="18">
                  <c:v>1.9800000000000009</c:v>
                </c:pt>
                <c:pt idx="19">
                  <c:v>2.0400000000000009</c:v>
                </c:pt>
                <c:pt idx="20">
                  <c:v>2.100000000000001</c:v>
                </c:pt>
              </c:numCache>
            </c:numRef>
          </c:xVal>
          <c:yVal>
            <c:numRef>
              <c:f>'Smile View'!$C$3:$C$23</c:f>
              <c:numCache>
                <c:formatCode>0.00%</c:formatCode>
                <c:ptCount val="21"/>
                <c:pt idx="0">
                  <c:v>0.2366778379682884</c:v>
                </c:pt>
                <c:pt idx="1">
                  <c:v>0.22122925785558487</c:v>
                </c:pt>
                <c:pt idx="2">
                  <c:v>0.20578067774288136</c:v>
                </c:pt>
                <c:pt idx="3">
                  <c:v>0.19033209763017789</c:v>
                </c:pt>
                <c:pt idx="4">
                  <c:v>0.17455438272063489</c:v>
                </c:pt>
                <c:pt idx="5">
                  <c:v>0.15844551405181162</c:v>
                </c:pt>
                <c:pt idx="6">
                  <c:v>0.14354030926534311</c:v>
                </c:pt>
                <c:pt idx="7">
                  <c:v>0.13080134476217989</c:v>
                </c:pt>
                <c:pt idx="8">
                  <c:v>0.1217131638438973</c:v>
                </c:pt>
                <c:pt idx="9">
                  <c:v>0.11785961236251641</c:v>
                </c:pt>
                <c:pt idx="10">
                  <c:v>0.11906370095136366</c:v>
                </c:pt>
                <c:pt idx="11">
                  <c:v>0.12412117313941089</c:v>
                </c:pt>
                <c:pt idx="12">
                  <c:v>0.13174285108731984</c:v>
                </c:pt>
                <c:pt idx="13">
                  <c:v>0.1404962243371958</c:v>
                </c:pt>
                <c:pt idx="14">
                  <c:v>0.14793965293996394</c:v>
                </c:pt>
                <c:pt idx="15">
                  <c:v>0.15538308154273212</c:v>
                </c:pt>
                <c:pt idx="16">
                  <c:v>0.16282651014550031</c:v>
                </c:pt>
                <c:pt idx="17">
                  <c:v>0.17026993874826837</c:v>
                </c:pt>
                <c:pt idx="18">
                  <c:v>0.1777133673510366</c:v>
                </c:pt>
                <c:pt idx="19">
                  <c:v>0.18515679595380474</c:v>
                </c:pt>
                <c:pt idx="20">
                  <c:v>0.19260022455657289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E3-4387-8D62-43AD335A3262}"/>
            </c:ext>
          </c:extLst>
        </c:ser>
        <c:ser>
          <c:idx val="1"/>
          <c:order val="1"/>
          <c:tx>
            <c:strRef>
              <c:f>'Smile View'!$D$2</c:f>
              <c:strCache>
                <c:ptCount val="1"/>
                <c:pt idx="0">
                  <c:v>Smile Shift</c:v>
                </c:pt>
              </c:strCache>
            </c:strRef>
          </c:tx>
          <c:marker>
            <c:symbol val="none"/>
          </c:marker>
          <c:xVal>
            <c:numRef>
              <c:f>'Smile View'!$B$3:$B$23</c:f>
              <c:numCache>
                <c:formatCode>General</c:formatCode>
                <c:ptCount val="21"/>
                <c:pt idx="0">
                  <c:v>0.9</c:v>
                </c:pt>
                <c:pt idx="1">
                  <c:v>0.96000000000000008</c:v>
                </c:pt>
                <c:pt idx="2">
                  <c:v>1.02</c:v>
                </c:pt>
                <c:pt idx="3">
                  <c:v>1.08</c:v>
                </c:pt>
                <c:pt idx="4">
                  <c:v>1.1400000000000001</c:v>
                </c:pt>
                <c:pt idx="5">
                  <c:v>1.2000000000000002</c:v>
                </c:pt>
                <c:pt idx="6">
                  <c:v>1.2600000000000002</c:v>
                </c:pt>
                <c:pt idx="7">
                  <c:v>1.3200000000000003</c:v>
                </c:pt>
                <c:pt idx="8">
                  <c:v>1.3800000000000003</c:v>
                </c:pt>
                <c:pt idx="9">
                  <c:v>1.4400000000000004</c:v>
                </c:pt>
                <c:pt idx="10">
                  <c:v>1.5000000000000004</c:v>
                </c:pt>
                <c:pt idx="11">
                  <c:v>1.5600000000000005</c:v>
                </c:pt>
                <c:pt idx="12">
                  <c:v>1.6200000000000006</c:v>
                </c:pt>
                <c:pt idx="13">
                  <c:v>1.6800000000000006</c:v>
                </c:pt>
                <c:pt idx="14">
                  <c:v>1.7400000000000007</c:v>
                </c:pt>
                <c:pt idx="15">
                  <c:v>1.8000000000000007</c:v>
                </c:pt>
                <c:pt idx="16">
                  <c:v>1.8600000000000008</c:v>
                </c:pt>
                <c:pt idx="17">
                  <c:v>1.9200000000000008</c:v>
                </c:pt>
                <c:pt idx="18">
                  <c:v>1.9800000000000009</c:v>
                </c:pt>
                <c:pt idx="19">
                  <c:v>2.0400000000000009</c:v>
                </c:pt>
                <c:pt idx="20">
                  <c:v>2.100000000000001</c:v>
                </c:pt>
              </c:numCache>
            </c:numRef>
          </c:xVal>
          <c:yVal>
            <c:numRef>
              <c:f>'Smile View'!$D$3:$D$23</c:f>
              <c:numCache>
                <c:formatCode>0.00%</c:formatCode>
                <c:ptCount val="21"/>
                <c:pt idx="0">
                  <c:v>0.23669452110015965</c:v>
                </c:pt>
                <c:pt idx="1">
                  <c:v>0.22124705319624752</c:v>
                </c:pt>
                <c:pt idx="2">
                  <c:v>0.20579958529233544</c:v>
                </c:pt>
                <c:pt idx="3">
                  <c:v>0.19035211738842336</c:v>
                </c:pt>
                <c:pt idx="4">
                  <c:v>0.17457682912866454</c:v>
                </c:pt>
                <c:pt idx="5">
                  <c:v>0.15846806063601193</c:v>
                </c:pt>
                <c:pt idx="6">
                  <c:v>0.14356148096405064</c:v>
                </c:pt>
                <c:pt idx="7">
                  <c:v>0.13081909817304302</c:v>
                </c:pt>
                <c:pt idx="8">
                  <c:v>0.12172422710225296</c:v>
                </c:pt>
                <c:pt idx="9">
                  <c:v>0.11786157163597868</c:v>
                </c:pt>
                <c:pt idx="10">
                  <c:v>0.11905770223561972</c:v>
                </c:pt>
                <c:pt idx="11">
                  <c:v>0.12410889735034832</c:v>
                </c:pt>
                <c:pt idx="12">
                  <c:v>0.13172640505683123</c:v>
                </c:pt>
                <c:pt idx="13">
                  <c:v>0.14048121958551271</c:v>
                </c:pt>
                <c:pt idx="14">
                  <c:v>0.14792411230429217</c:v>
                </c:pt>
                <c:pt idx="15">
                  <c:v>0.15536700502307166</c:v>
                </c:pt>
                <c:pt idx="16">
                  <c:v>0.16280989774185109</c:v>
                </c:pt>
                <c:pt idx="17">
                  <c:v>0.1702527904606306</c:v>
                </c:pt>
                <c:pt idx="18">
                  <c:v>0.17769568317941004</c:v>
                </c:pt>
                <c:pt idx="19">
                  <c:v>0.18513857589818955</c:v>
                </c:pt>
                <c:pt idx="20">
                  <c:v>0.19258146861696895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E3-4387-8D62-43AD335A3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04160"/>
        <c:axId val="63805696"/>
      </c:scatterChart>
      <c:valAx>
        <c:axId val="63804160"/>
        <c:scaling>
          <c:orientation val="minMax"/>
          <c:max val="2.2000000000000002"/>
          <c:min val="0.8"/>
        </c:scaling>
        <c:delete val="0"/>
        <c:axPos val="b"/>
        <c:numFmt formatCode="General" sourceLinked="1"/>
        <c:majorTickMark val="out"/>
        <c:minorTickMark val="none"/>
        <c:tickLblPos val="nextTo"/>
        <c:crossAx val="63805696"/>
        <c:crosses val="autoZero"/>
        <c:crossBetween val="midCat"/>
      </c:valAx>
      <c:valAx>
        <c:axId val="63805696"/>
        <c:scaling>
          <c:orientation val="minMax"/>
          <c:max val="0.25"/>
          <c:min val="0.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63804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Smile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Digit!$B$2:$B$23</c:f>
              <c:numCache>
                <c:formatCode>General</c:formatCode>
                <c:ptCount val="22"/>
                <c:pt idx="0">
                  <c:v>0</c:v>
                </c:pt>
                <c:pt idx="1">
                  <c:v>0.9</c:v>
                </c:pt>
                <c:pt idx="2">
                  <c:v>0.96000000000000008</c:v>
                </c:pt>
                <c:pt idx="3">
                  <c:v>1.02</c:v>
                </c:pt>
                <c:pt idx="4">
                  <c:v>1.08</c:v>
                </c:pt>
                <c:pt idx="5">
                  <c:v>1.1400000000000001</c:v>
                </c:pt>
                <c:pt idx="6">
                  <c:v>1.2000000000000002</c:v>
                </c:pt>
                <c:pt idx="7">
                  <c:v>1.2600000000000002</c:v>
                </c:pt>
                <c:pt idx="8">
                  <c:v>1.3200000000000003</c:v>
                </c:pt>
                <c:pt idx="9">
                  <c:v>1.3800000000000003</c:v>
                </c:pt>
                <c:pt idx="10">
                  <c:v>1.4400000000000004</c:v>
                </c:pt>
                <c:pt idx="11">
                  <c:v>1.5000000000000004</c:v>
                </c:pt>
                <c:pt idx="12">
                  <c:v>1.5600000000000005</c:v>
                </c:pt>
                <c:pt idx="13">
                  <c:v>1.6200000000000006</c:v>
                </c:pt>
                <c:pt idx="14">
                  <c:v>1.6800000000000006</c:v>
                </c:pt>
                <c:pt idx="15">
                  <c:v>1.7400000000000007</c:v>
                </c:pt>
                <c:pt idx="16">
                  <c:v>1.8000000000000007</c:v>
                </c:pt>
                <c:pt idx="17">
                  <c:v>1.8600000000000008</c:v>
                </c:pt>
                <c:pt idx="18">
                  <c:v>1.9200000000000008</c:v>
                </c:pt>
                <c:pt idx="19">
                  <c:v>1.9800000000000009</c:v>
                </c:pt>
                <c:pt idx="20">
                  <c:v>2.0400000000000009</c:v>
                </c:pt>
                <c:pt idx="21">
                  <c:v>2.100000000000001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BE-49F9-AA2E-EC2533D1F625}"/>
            </c:ext>
          </c:extLst>
        </c:ser>
        <c:ser>
          <c:idx val="1"/>
          <c:order val="1"/>
          <c:marker>
            <c:symbol val="none"/>
          </c:marker>
          <c:yVal>
            <c:numRef>
              <c:f>Digit!$C$2:$C$23</c:f>
              <c:numCache>
                <c:formatCode>0.00%</c:formatCode>
                <c:ptCount val="22"/>
                <c:pt idx="0" formatCode="General">
                  <c:v>0</c:v>
                </c:pt>
                <c:pt idx="1">
                  <c:v>0.2366778379682884</c:v>
                </c:pt>
                <c:pt idx="2">
                  <c:v>0.22122925785558487</c:v>
                </c:pt>
                <c:pt idx="3">
                  <c:v>0.20578067774288136</c:v>
                </c:pt>
                <c:pt idx="4">
                  <c:v>0.19033209763017789</c:v>
                </c:pt>
                <c:pt idx="5">
                  <c:v>0.17455438272063489</c:v>
                </c:pt>
                <c:pt idx="6">
                  <c:v>0.15844551405181162</c:v>
                </c:pt>
                <c:pt idx="7">
                  <c:v>0.14354030926534311</c:v>
                </c:pt>
                <c:pt idx="8">
                  <c:v>0.13080134476217989</c:v>
                </c:pt>
                <c:pt idx="9">
                  <c:v>0.1217131638438973</c:v>
                </c:pt>
                <c:pt idx="10">
                  <c:v>0.11785961236251641</c:v>
                </c:pt>
                <c:pt idx="11">
                  <c:v>0.11906370095136366</c:v>
                </c:pt>
                <c:pt idx="12">
                  <c:v>0.12412117313941089</c:v>
                </c:pt>
                <c:pt idx="13">
                  <c:v>0.13174285108731984</c:v>
                </c:pt>
                <c:pt idx="14">
                  <c:v>0.1404962243371958</c:v>
                </c:pt>
                <c:pt idx="15">
                  <c:v>0.14793965293996394</c:v>
                </c:pt>
                <c:pt idx="16">
                  <c:v>0.15538308154273212</c:v>
                </c:pt>
                <c:pt idx="17">
                  <c:v>0.16282651014550031</c:v>
                </c:pt>
                <c:pt idx="18">
                  <c:v>0.17026993874826837</c:v>
                </c:pt>
                <c:pt idx="19">
                  <c:v>0.1777133673510366</c:v>
                </c:pt>
                <c:pt idx="20">
                  <c:v>0.18515679595380474</c:v>
                </c:pt>
                <c:pt idx="21">
                  <c:v>0.19260022455657289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BE-49F9-AA2E-EC2533D1F625}"/>
            </c:ext>
          </c:extLst>
        </c:ser>
        <c:ser>
          <c:idx val="2"/>
          <c:order val="2"/>
          <c:marker>
            <c:symbol val="none"/>
          </c:marker>
          <c:yVal>
            <c:numRef>
              <c:f>Digit!$D$2:$D$23</c:f>
              <c:numCache>
                <c:formatCode>0.00%</c:formatCode>
                <c:ptCount val="22"/>
                <c:pt idx="0" formatCode="General">
                  <c:v>0</c:v>
                </c:pt>
                <c:pt idx="1">
                  <c:v>0.23665209033476717</c:v>
                </c:pt>
                <c:pt idx="2">
                  <c:v>0.22120351022206369</c:v>
                </c:pt>
                <c:pt idx="3">
                  <c:v>0.20575493010936019</c:v>
                </c:pt>
                <c:pt idx="4">
                  <c:v>0.19030634999665669</c:v>
                </c:pt>
                <c:pt idx="5">
                  <c:v>0.17452703430205088</c:v>
                </c:pt>
                <c:pt idx="6">
                  <c:v>0.15841941949681321</c:v>
                </c:pt>
                <c:pt idx="7">
                  <c:v>0.14351697557136264</c:v>
                </c:pt>
                <c:pt idx="8">
                  <c:v>0.13078267321477405</c:v>
                </c:pt>
                <c:pt idx="9">
                  <c:v>0.12170204341317602</c:v>
                </c:pt>
                <c:pt idx="10">
                  <c:v>0.11785773682194646</c:v>
                </c:pt>
                <c:pt idx="11">
                  <c:v>0.11906926691820539</c:v>
                </c:pt>
                <c:pt idx="12">
                  <c:v>0.12413211087550895</c:v>
                </c:pt>
                <c:pt idx="13">
                  <c:v>0.13175695576100188</c:v>
                </c:pt>
                <c:pt idx="14">
                  <c:v>0.14050863005153377</c:v>
                </c:pt>
                <c:pt idx="15">
                  <c:v>0.14795205865430189</c:v>
                </c:pt>
                <c:pt idx="16">
                  <c:v>0.15539548725707009</c:v>
                </c:pt>
                <c:pt idx="17">
                  <c:v>0.16283891585983823</c:v>
                </c:pt>
                <c:pt idx="18">
                  <c:v>0.17028234446260634</c:v>
                </c:pt>
                <c:pt idx="19">
                  <c:v>0.17772577306537451</c:v>
                </c:pt>
                <c:pt idx="20">
                  <c:v>0.18516920166814271</c:v>
                </c:pt>
                <c:pt idx="21">
                  <c:v>0.19261263027091086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BE-49F9-AA2E-EC2533D1F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56224"/>
        <c:axId val="72762112"/>
      </c:scatterChart>
      <c:valAx>
        <c:axId val="72756224"/>
        <c:scaling>
          <c:orientation val="minMax"/>
          <c:max val="2.1"/>
          <c:min val="0.9"/>
        </c:scaling>
        <c:delete val="0"/>
        <c:axPos val="b"/>
        <c:numFmt formatCode="General" sourceLinked="1"/>
        <c:majorTickMark val="out"/>
        <c:minorTickMark val="none"/>
        <c:tickLblPos val="nextTo"/>
        <c:crossAx val="72762112"/>
        <c:crosses val="autoZero"/>
        <c:crossBetween val="midCat"/>
      </c:valAx>
      <c:valAx>
        <c:axId val="72762112"/>
        <c:scaling>
          <c:orientation val="minMax"/>
          <c:max val="0.25"/>
          <c:min val="8.000000000000004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7562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Digit!$E$2</c:f>
              <c:strCache>
                <c:ptCount val="1"/>
                <c:pt idx="0">
                  <c:v>Digit Smile</c:v>
                </c:pt>
              </c:strCache>
            </c:strRef>
          </c:tx>
          <c:marker>
            <c:symbol val="none"/>
          </c:marker>
          <c:xVal>
            <c:numRef>
              <c:f>Digit!$B$3:$B$23</c:f>
              <c:numCache>
                <c:formatCode>General</c:formatCode>
                <c:ptCount val="21"/>
                <c:pt idx="0">
                  <c:v>0.9</c:v>
                </c:pt>
                <c:pt idx="1">
                  <c:v>0.96000000000000008</c:v>
                </c:pt>
                <c:pt idx="2">
                  <c:v>1.02</c:v>
                </c:pt>
                <c:pt idx="3">
                  <c:v>1.08</c:v>
                </c:pt>
                <c:pt idx="4">
                  <c:v>1.1400000000000001</c:v>
                </c:pt>
                <c:pt idx="5">
                  <c:v>1.2000000000000002</c:v>
                </c:pt>
                <c:pt idx="6">
                  <c:v>1.2600000000000002</c:v>
                </c:pt>
                <c:pt idx="7">
                  <c:v>1.3200000000000003</c:v>
                </c:pt>
                <c:pt idx="8">
                  <c:v>1.3800000000000003</c:v>
                </c:pt>
                <c:pt idx="9">
                  <c:v>1.4400000000000004</c:v>
                </c:pt>
                <c:pt idx="10">
                  <c:v>1.5000000000000004</c:v>
                </c:pt>
                <c:pt idx="11">
                  <c:v>1.5600000000000005</c:v>
                </c:pt>
                <c:pt idx="12">
                  <c:v>1.6200000000000006</c:v>
                </c:pt>
                <c:pt idx="13">
                  <c:v>1.6800000000000006</c:v>
                </c:pt>
                <c:pt idx="14">
                  <c:v>1.7400000000000007</c:v>
                </c:pt>
                <c:pt idx="15">
                  <c:v>1.8000000000000007</c:v>
                </c:pt>
                <c:pt idx="16">
                  <c:v>1.8600000000000008</c:v>
                </c:pt>
                <c:pt idx="17">
                  <c:v>1.9200000000000008</c:v>
                </c:pt>
                <c:pt idx="18">
                  <c:v>1.9800000000000009</c:v>
                </c:pt>
                <c:pt idx="19">
                  <c:v>2.0400000000000009</c:v>
                </c:pt>
                <c:pt idx="20">
                  <c:v>2.100000000000001</c:v>
                </c:pt>
              </c:numCache>
            </c:numRef>
          </c:xVal>
          <c:yVal>
            <c:numRef>
              <c:f>Digit!$E$3:$E$23</c:f>
              <c:numCache>
                <c:formatCode>0.00%</c:formatCode>
                <c:ptCount val="21"/>
                <c:pt idx="0">
                  <c:v>0.97489168190270648</c:v>
                </c:pt>
                <c:pt idx="1">
                  <c:v>0.9664997909345856</c:v>
                </c:pt>
                <c:pt idx="2">
                  <c:v>0.95496414809650598</c:v>
                </c:pt>
                <c:pt idx="3">
                  <c:v>0.93879100707823127</c:v>
                </c:pt>
                <c:pt idx="4">
                  <c:v>0.9202088119452887</c:v>
                </c:pt>
                <c:pt idx="5">
                  <c:v>0.88404522308576061</c:v>
                </c:pt>
                <c:pt idx="6">
                  <c:v>0.8211446365952858</c:v>
                </c:pt>
                <c:pt idx="7">
                  <c:v>0.7152796954088172</c:v>
                </c:pt>
                <c:pt idx="8">
                  <c:v>0.55295349123385107</c:v>
                </c:pt>
                <c:pt idx="9">
                  <c:v>0.36305656709965051</c:v>
                </c:pt>
                <c:pt idx="10">
                  <c:v>0.21101587530183147</c:v>
                </c:pt>
                <c:pt idx="11">
                  <c:v>0.11575808511803277</c:v>
                </c:pt>
                <c:pt idx="12">
                  <c:v>6.4779171910270314E-2</c:v>
                </c:pt>
                <c:pt idx="13">
                  <c:v>4.6121802962279045E-2</c:v>
                </c:pt>
                <c:pt idx="14">
                  <c:v>3.0454696443361826E-2</c:v>
                </c:pt>
                <c:pt idx="15">
                  <c:v>2.0581069018786615E-2</c:v>
                </c:pt>
                <c:pt idx="16">
                  <c:v>1.4234208287633842E-2</c:v>
                </c:pt>
                <c:pt idx="17">
                  <c:v>1.006315767931731E-2</c:v>
                </c:pt>
                <c:pt idx="18">
                  <c:v>7.2581628586619422E-3</c:v>
                </c:pt>
                <c:pt idx="19">
                  <c:v>5.3277297106594226E-3</c:v>
                </c:pt>
                <c:pt idx="20">
                  <c:v>3.9686168136697881E-3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92-44FE-864C-90DE979ED064}"/>
            </c:ext>
          </c:extLst>
        </c:ser>
        <c:ser>
          <c:idx val="1"/>
          <c:order val="1"/>
          <c:tx>
            <c:strRef>
              <c:f>Digit!$F$2</c:f>
              <c:strCache>
                <c:ptCount val="1"/>
                <c:pt idx="0">
                  <c:v>Digit BS</c:v>
                </c:pt>
              </c:strCache>
            </c:strRef>
          </c:tx>
          <c:marker>
            <c:symbol val="none"/>
          </c:marker>
          <c:xVal>
            <c:numRef>
              <c:f>Digit!$B$3:$B$23</c:f>
              <c:numCache>
                <c:formatCode>General</c:formatCode>
                <c:ptCount val="21"/>
                <c:pt idx="0">
                  <c:v>0.9</c:v>
                </c:pt>
                <c:pt idx="1">
                  <c:v>0.96000000000000008</c:v>
                </c:pt>
                <c:pt idx="2">
                  <c:v>1.02</c:v>
                </c:pt>
                <c:pt idx="3">
                  <c:v>1.08</c:v>
                </c:pt>
                <c:pt idx="4">
                  <c:v>1.1400000000000001</c:v>
                </c:pt>
                <c:pt idx="5">
                  <c:v>1.2000000000000002</c:v>
                </c:pt>
                <c:pt idx="6">
                  <c:v>1.2600000000000002</c:v>
                </c:pt>
                <c:pt idx="7">
                  <c:v>1.3200000000000003</c:v>
                </c:pt>
                <c:pt idx="8">
                  <c:v>1.3800000000000003</c:v>
                </c:pt>
                <c:pt idx="9">
                  <c:v>1.4400000000000004</c:v>
                </c:pt>
                <c:pt idx="10">
                  <c:v>1.5000000000000004</c:v>
                </c:pt>
                <c:pt idx="11">
                  <c:v>1.5600000000000005</c:v>
                </c:pt>
                <c:pt idx="12">
                  <c:v>1.6200000000000006</c:v>
                </c:pt>
                <c:pt idx="13">
                  <c:v>1.6800000000000006</c:v>
                </c:pt>
                <c:pt idx="14">
                  <c:v>1.7400000000000007</c:v>
                </c:pt>
                <c:pt idx="15">
                  <c:v>1.8000000000000007</c:v>
                </c:pt>
                <c:pt idx="16">
                  <c:v>1.8600000000000008</c:v>
                </c:pt>
                <c:pt idx="17">
                  <c:v>1.9200000000000008</c:v>
                </c:pt>
                <c:pt idx="18">
                  <c:v>1.9800000000000009</c:v>
                </c:pt>
                <c:pt idx="19">
                  <c:v>2.0400000000000009</c:v>
                </c:pt>
                <c:pt idx="20">
                  <c:v>2.100000000000001</c:v>
                </c:pt>
              </c:numCache>
            </c:numRef>
          </c:xVal>
          <c:yVal>
            <c:numRef>
              <c:f>Digit!$F$3:$F$23</c:f>
              <c:numCache>
                <c:formatCode>0.00%</c:formatCode>
                <c:ptCount val="21"/>
                <c:pt idx="0">
                  <c:v>0.95355881621581329</c:v>
                </c:pt>
                <c:pt idx="1">
                  <c:v>0.93713130699963343</c:v>
                </c:pt>
                <c:pt idx="2">
                  <c:v>0.91535473450379123</c:v>
                </c:pt>
                <c:pt idx="3">
                  <c:v>0.88633613720996429</c:v>
                </c:pt>
                <c:pt idx="4">
                  <c:v>0.84789977185175303</c:v>
                </c:pt>
                <c:pt idx="5">
                  <c:v>0.79634501489490384</c:v>
                </c:pt>
                <c:pt idx="6">
                  <c:v>0.72351330271314496</c:v>
                </c:pt>
                <c:pt idx="7">
                  <c:v>0.62210817579711575</c:v>
                </c:pt>
                <c:pt idx="8">
                  <c:v>0.49203704680149285</c:v>
                </c:pt>
                <c:pt idx="9">
                  <c:v>0.35315059777773483</c:v>
                </c:pt>
                <c:pt idx="10">
                  <c:v>0.23682508397417235</c:v>
                </c:pt>
                <c:pt idx="11">
                  <c:v>0.15671583605874262</c:v>
                </c:pt>
                <c:pt idx="12">
                  <c:v>0.10684271719329831</c:v>
                </c:pt>
                <c:pt idx="13">
                  <c:v>7.588392358711292E-2</c:v>
                </c:pt>
                <c:pt idx="14">
                  <c:v>5.4178667896509325E-2</c:v>
                </c:pt>
                <c:pt idx="15">
                  <c:v>3.9703808194069483E-2</c:v>
                </c:pt>
                <c:pt idx="16">
                  <c:v>2.9877820049470535E-2</c:v>
                </c:pt>
                <c:pt idx="17">
                  <c:v>2.3073922867346761E-2</c:v>
                </c:pt>
                <c:pt idx="18">
                  <c:v>1.8265432741975902E-2</c:v>
                </c:pt>
                <c:pt idx="19">
                  <c:v>1.4798296042662423E-2</c:v>
                </c:pt>
                <c:pt idx="20">
                  <c:v>1.2250065274490504E-2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92-44FE-864C-90DE979ED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87456"/>
        <c:axId val="72788992"/>
      </c:scatterChart>
      <c:valAx>
        <c:axId val="72787456"/>
        <c:scaling>
          <c:orientation val="minMax"/>
          <c:max val="2.1"/>
          <c:min val="0.9"/>
        </c:scaling>
        <c:delete val="0"/>
        <c:axPos val="b"/>
        <c:numFmt formatCode="General" sourceLinked="1"/>
        <c:majorTickMark val="out"/>
        <c:minorTickMark val="none"/>
        <c:tickLblPos val="nextTo"/>
        <c:crossAx val="72788992"/>
        <c:crosses val="autoZero"/>
        <c:crossBetween val="midCat"/>
      </c:valAx>
      <c:valAx>
        <c:axId val="7278899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7278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53340</xdr:colOff>
      <xdr:row>1</xdr:row>
      <xdr:rowOff>87630</xdr:rowOff>
    </xdr:from>
    <xdr:to>
      <xdr:col>41</xdr:col>
      <xdr:colOff>666750</xdr:colOff>
      <xdr:row>14</xdr:row>
      <xdr:rowOff>152400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320040</xdr:colOff>
      <xdr:row>1</xdr:row>
      <xdr:rowOff>37147</xdr:rowOff>
    </xdr:from>
    <xdr:to>
      <xdr:col>8</xdr:col>
      <xdr:colOff>304800</xdr:colOff>
      <xdr:row>12</xdr:row>
      <xdr:rowOff>178117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53340</xdr:colOff>
      <xdr:row>1</xdr:row>
      <xdr:rowOff>87630</xdr:rowOff>
    </xdr:from>
    <xdr:to>
      <xdr:col>41</xdr:col>
      <xdr:colOff>666750</xdr:colOff>
      <xdr:row>14</xdr:row>
      <xdr:rowOff>152400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123826</xdr:colOff>
      <xdr:row>2</xdr:row>
      <xdr:rowOff>157163</xdr:rowOff>
    </xdr:from>
    <xdr:to>
      <xdr:col>10</xdr:col>
      <xdr:colOff>161925</xdr:colOff>
      <xdr:row>11</xdr:row>
      <xdr:rowOff>28576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I14"/>
  <sheetViews>
    <sheetView tabSelected="1" zoomScale="200" zoomScaleNormal="200" workbookViewId="0"/>
  </sheetViews>
  <sheetFormatPr baseColWidth="10" defaultRowHeight="14.5" x14ac:dyDescent="0.35"/>
  <cols>
    <col min="3" max="3" width="6.54296875" bestFit="1" customWidth="1"/>
    <col min="4" max="4" width="7.1796875" bestFit="1" customWidth="1"/>
    <col min="5" max="5" width="7.54296875" bestFit="1" customWidth="1"/>
  </cols>
  <sheetData>
    <row r="2" spans="1:9" x14ac:dyDescent="0.35">
      <c r="B2" s="2" t="s">
        <v>12</v>
      </c>
      <c r="C2" s="4">
        <f>I2*I13/I14</f>
        <v>1.3875117942185744</v>
      </c>
      <c r="H2" s="2" t="s">
        <v>0</v>
      </c>
      <c r="I2">
        <v>1.3889</v>
      </c>
    </row>
    <row r="3" spans="1:9" x14ac:dyDescent="0.35">
      <c r="C3" s="2" t="s">
        <v>17</v>
      </c>
      <c r="D3" s="2" t="s">
        <v>18</v>
      </c>
      <c r="E3" s="2" t="s">
        <v>19</v>
      </c>
      <c r="H3" s="2" t="s">
        <v>1</v>
      </c>
      <c r="I3" s="3">
        <v>3.0000000000000001E-3</v>
      </c>
    </row>
    <row r="4" spans="1:9" x14ac:dyDescent="0.35">
      <c r="A4">
        <v>-0.1</v>
      </c>
      <c r="B4" s="2" t="s">
        <v>13</v>
      </c>
      <c r="C4" s="1">
        <f>I7+I11-I9/2</f>
        <v>0.18</v>
      </c>
      <c r="D4">
        <f>F4</f>
        <v>1.120128338869208</v>
      </c>
      <c r="E4" s="5">
        <f>BSDelta($C$2,D4,$I$6,C4,-1)*$I$13</f>
        <v>-0.10000000000000012</v>
      </c>
      <c r="F4">
        <f>$C$2*EXP(NORMSINV(-A4/$I$13)*C4*SQRT($I$6)+0.5*C4*C4*$I$6)</f>
        <v>1.120128338869208</v>
      </c>
      <c r="H4" s="2" t="s">
        <v>2</v>
      </c>
      <c r="I4" s="3">
        <v>5.0000000000000001E-3</v>
      </c>
    </row>
    <row r="5" spans="1:9" x14ac:dyDescent="0.35">
      <c r="A5">
        <v>-0.25</v>
      </c>
      <c r="B5" s="2" t="s">
        <v>14</v>
      </c>
      <c r="C5" s="1">
        <f>I7+I10-I8/2</f>
        <v>0.14000000000000001</v>
      </c>
      <c r="D5">
        <f>F5</f>
        <v>1.2754824220594463</v>
      </c>
      <c r="E5" s="5">
        <f>BSDelta($C$2,D5,$I$6,C5,-1)*I13</f>
        <v>-0.25000000000000011</v>
      </c>
      <c r="F5">
        <f>$C$2*EXP(NORMSINV(-A5/$I$13)*C5*SQRT($I$6)+0.5*C5*C5*$I$6)</f>
        <v>1.2754824220594463</v>
      </c>
      <c r="H5" s="2" t="s">
        <v>3</v>
      </c>
      <c r="I5" s="3">
        <v>1E-3</v>
      </c>
    </row>
    <row r="6" spans="1:9" x14ac:dyDescent="0.35">
      <c r="A6">
        <v>0</v>
      </c>
      <c r="B6" s="2" t="s">
        <v>6</v>
      </c>
      <c r="C6" s="1">
        <f>I7</f>
        <v>0.12</v>
      </c>
      <c r="D6">
        <f>F6</f>
        <v>1.3975379299125779</v>
      </c>
      <c r="E6" s="5">
        <f>(BSDelta($C$2,D6,$I$6,C6,-1)+BSDelta($C$2,D6,$I$6,C6,1))*I13</f>
        <v>-4.4231640099212276E-16</v>
      </c>
      <c r="F6">
        <f>C2*EXP(0.5*I7*I7*I6)</f>
        <v>1.3975379299125779</v>
      </c>
      <c r="H6" s="2" t="s">
        <v>4</v>
      </c>
      <c r="I6">
        <v>1</v>
      </c>
    </row>
    <row r="7" spans="1:9" x14ac:dyDescent="0.35">
      <c r="A7">
        <v>0.25</v>
      </c>
      <c r="B7" s="2" t="s">
        <v>15</v>
      </c>
      <c r="C7" s="1">
        <f>I7+I10+I8/2</f>
        <v>0.12000000000000001</v>
      </c>
      <c r="D7">
        <f>F7</f>
        <v>1.5147840053474282</v>
      </c>
      <c r="E7" s="5">
        <f>BSDelta($C$2,D7,$I$6,C7,1)*I13</f>
        <v>0.24999999999999969</v>
      </c>
      <c r="F7">
        <f>$C$2*EXP(-NORMSINV(A7/$I$13)*C7*SQRT($I$6)+0.5*C7*C7*$I$6)</f>
        <v>1.5147840053474282</v>
      </c>
      <c r="H7" s="2" t="s">
        <v>6</v>
      </c>
      <c r="I7" s="1">
        <v>0.12</v>
      </c>
    </row>
    <row r="8" spans="1:9" x14ac:dyDescent="0.35">
      <c r="A8">
        <v>0.1</v>
      </c>
      <c r="B8" s="2" t="s">
        <v>16</v>
      </c>
      <c r="C8" s="1">
        <f>I7+I11+I9/2</f>
        <v>0.14000000000000001</v>
      </c>
      <c r="D8">
        <f>F8</f>
        <v>1.6760000341481518</v>
      </c>
      <c r="E8" s="5">
        <f>BSDelta($C$2,D8,$I$6,C8,1)*I13</f>
        <v>0.10000000000000032</v>
      </c>
      <c r="F8">
        <f>$C$2*EXP(-NORMSINV(A8/$I$13)*C8*SQRT($I$6)+0.5*C8*C8*$I$6)</f>
        <v>1.6760000341481518</v>
      </c>
      <c r="H8" s="2" t="s">
        <v>5</v>
      </c>
      <c r="I8" s="1">
        <v>-0.02</v>
      </c>
    </row>
    <row r="9" spans="1:9" x14ac:dyDescent="0.35">
      <c r="H9" s="2" t="s">
        <v>7</v>
      </c>
      <c r="I9" s="1">
        <v>-0.04</v>
      </c>
    </row>
    <row r="10" spans="1:9" x14ac:dyDescent="0.35">
      <c r="H10" s="2" t="s">
        <v>8</v>
      </c>
      <c r="I10" s="1">
        <v>0.01</v>
      </c>
    </row>
    <row r="11" spans="1:9" x14ac:dyDescent="0.35">
      <c r="H11" s="2" t="s">
        <v>9</v>
      </c>
      <c r="I11" s="1">
        <v>0.04</v>
      </c>
    </row>
    <row r="12" spans="1:9" x14ac:dyDescent="0.35">
      <c r="H12" s="2"/>
    </row>
    <row r="13" spans="1:9" x14ac:dyDescent="0.35">
      <c r="H13" s="2" t="s">
        <v>10</v>
      </c>
      <c r="I13">
        <f>EXP(-(I4-I5)*I6)</f>
        <v>0.99600798934399148</v>
      </c>
    </row>
    <row r="14" spans="1:9" x14ac:dyDescent="0.35">
      <c r="H14" s="2" t="s">
        <v>11</v>
      </c>
      <c r="I14">
        <f>EXP(-I3*I6)</f>
        <v>0.997004495503373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2:J14"/>
  <sheetViews>
    <sheetView zoomScale="200" zoomScaleNormal="200" workbookViewId="0"/>
  </sheetViews>
  <sheetFormatPr baseColWidth="10" defaultRowHeight="14.5" x14ac:dyDescent="0.35"/>
  <cols>
    <col min="5" max="5" width="9.26953125" bestFit="1" customWidth="1"/>
    <col min="6" max="7" width="8.7265625" bestFit="1" customWidth="1"/>
    <col min="8" max="9" width="8.26953125" bestFit="1" customWidth="1"/>
    <col min="10" max="10" width="7.26953125" bestFit="1" customWidth="1"/>
  </cols>
  <sheetData>
    <row r="2" spans="1:10" ht="15" thickBot="1" x14ac:dyDescent="0.4">
      <c r="A2" s="2" t="s">
        <v>18</v>
      </c>
      <c r="B2" s="2" t="s">
        <v>20</v>
      </c>
      <c r="C2" s="2" t="s">
        <v>21</v>
      </c>
      <c r="D2" s="2" t="s">
        <v>22</v>
      </c>
      <c r="E2">
        <v>1</v>
      </c>
      <c r="F2">
        <v>2</v>
      </c>
      <c r="G2">
        <v>3</v>
      </c>
      <c r="H2">
        <v>4</v>
      </c>
      <c r="I2">
        <v>5</v>
      </c>
    </row>
    <row r="3" spans="1:10" x14ac:dyDescent="0.35">
      <c r="A3" s="4">
        <f>'Smile FX'!D4</f>
        <v>1.120128338869208</v>
      </c>
      <c r="B3" s="1">
        <f>'Smile FX'!C4</f>
        <v>0.18</v>
      </c>
      <c r="C3" s="4">
        <f t="shared" ref="C3:D6" si="0">(A4-A3)</f>
        <v>0.15535408319023825</v>
      </c>
      <c r="D3" s="4">
        <f t="shared" si="0"/>
        <v>-3.999999999999998E-2</v>
      </c>
      <c r="E3" s="6">
        <f>2/C3</f>
        <v>12.873816760586251</v>
      </c>
      <c r="F3" s="7">
        <f>1/C3</f>
        <v>6.4369083802931257</v>
      </c>
      <c r="G3" s="7">
        <v>0</v>
      </c>
      <c r="H3" s="7">
        <v>0</v>
      </c>
      <c r="I3" s="7">
        <v>0</v>
      </c>
      <c r="J3" s="12">
        <f>3*D3/C3/C3</f>
        <v>-4.972054739554542</v>
      </c>
    </row>
    <row r="4" spans="1:10" x14ac:dyDescent="0.35">
      <c r="A4" s="4">
        <f>'Smile FX'!D5</f>
        <v>1.2754824220594463</v>
      </c>
      <c r="B4" s="1">
        <f>'Smile FX'!C5</f>
        <v>0.14000000000000001</v>
      </c>
      <c r="C4" s="4">
        <f t="shared" si="0"/>
        <v>0.12205550785313157</v>
      </c>
      <c r="D4" s="4">
        <f t="shared" si="0"/>
        <v>-2.0000000000000018E-2</v>
      </c>
      <c r="E4" s="8">
        <f>1/C3</f>
        <v>6.4369083802931257</v>
      </c>
      <c r="F4" s="9">
        <f>2*(1/C3+1/C4)</f>
        <v>29.25980404767029</v>
      </c>
      <c r="G4" s="9">
        <f>1/C4</f>
        <v>8.1929936435420192</v>
      </c>
      <c r="H4" s="9">
        <v>0</v>
      </c>
      <c r="I4" s="9">
        <v>0</v>
      </c>
      <c r="J4" s="13">
        <f>3*(D3/C3/C3+D4/C4/C4)</f>
        <v>-8.9995634301417411</v>
      </c>
    </row>
    <row r="5" spans="1:10" x14ac:dyDescent="0.35">
      <c r="A5" s="4">
        <f>'Smile FX'!D6</f>
        <v>1.3975379299125779</v>
      </c>
      <c r="B5" s="1">
        <f>'Smile FX'!C6</f>
        <v>0.12</v>
      </c>
      <c r="C5" s="4">
        <f t="shared" si="0"/>
        <v>0.11724607543485033</v>
      </c>
      <c r="D5" s="4">
        <f t="shared" si="0"/>
        <v>1.3877787807814457E-17</v>
      </c>
      <c r="E5" s="8">
        <v>0</v>
      </c>
      <c r="F5" s="9">
        <f>1/C4</f>
        <v>8.1929936435420192</v>
      </c>
      <c r="G5" s="9">
        <f>2*(1/C4+1/C5)</f>
        <v>33.444127549623843</v>
      </c>
      <c r="H5" s="9">
        <f>1/C5</f>
        <v>8.5290701312699042</v>
      </c>
      <c r="I5" s="9">
        <v>0</v>
      </c>
      <c r="J5" s="13">
        <f>3*(D4/C4/C4+D5/C5/C5)</f>
        <v>-4.0275086905871955</v>
      </c>
    </row>
    <row r="6" spans="1:10" x14ac:dyDescent="0.35">
      <c r="A6" s="4">
        <f>'Smile FX'!D7</f>
        <v>1.5147840053474282</v>
      </c>
      <c r="B6" s="1">
        <f>'Smile FX'!C7</f>
        <v>0.12000000000000001</v>
      </c>
      <c r="C6" s="4">
        <f t="shared" si="0"/>
        <v>0.16121602880072361</v>
      </c>
      <c r="D6" s="4">
        <f t="shared" si="0"/>
        <v>2.0000000000000004E-2</v>
      </c>
      <c r="E6" s="8">
        <v>0</v>
      </c>
      <c r="F6" s="9">
        <v>0</v>
      </c>
      <c r="G6" s="9">
        <f>1/C5</f>
        <v>8.5290701312699042</v>
      </c>
      <c r="H6" s="9">
        <f>2*(1/C5+1/C6)</f>
        <v>29.463854600486727</v>
      </c>
      <c r="I6" s="9">
        <f>1/C6</f>
        <v>6.2028571689734582</v>
      </c>
      <c r="J6" s="13">
        <f>3*(D5/C5/C5+D6/C6/C6)</f>
        <v>2.3085262235211292</v>
      </c>
    </row>
    <row r="7" spans="1:10" ht="15" thickBot="1" x14ac:dyDescent="0.4">
      <c r="A7" s="4">
        <f>'Smile FX'!D8</f>
        <v>1.6760000341481518</v>
      </c>
      <c r="B7" s="1">
        <f>'Smile FX'!C8</f>
        <v>0.14000000000000001</v>
      </c>
      <c r="C7" s="4"/>
      <c r="D7" s="1"/>
      <c r="E7" s="10">
        <v>0</v>
      </c>
      <c r="F7" s="11">
        <v>0</v>
      </c>
      <c r="G7" s="11">
        <v>0</v>
      </c>
      <c r="H7" s="11">
        <f>1/C6</f>
        <v>6.2028571689734582</v>
      </c>
      <c r="I7" s="11">
        <f>2/C6</f>
        <v>12.405714337946916</v>
      </c>
      <c r="J7" s="16">
        <f>3*D6/C6/C6</f>
        <v>2.3085262235211261</v>
      </c>
    </row>
    <row r="9" spans="1:10" x14ac:dyDescent="0.35">
      <c r="E9" s="2" t="s">
        <v>23</v>
      </c>
      <c r="F9" s="2" t="s">
        <v>24</v>
      </c>
      <c r="G9" s="2" t="s">
        <v>25</v>
      </c>
    </row>
    <row r="10" spans="1:10" x14ac:dyDescent="0.35">
      <c r="E10" s="14">
        <f t="array" ref="E10:E14">MMULT(MINVERSE(E3:I7),J3:J7)</f>
        <v>-0.27431486253216658</v>
      </c>
      <c r="F10" s="15">
        <f>E10*C3-D3</f>
        <v>-2.6159339741409979E-3</v>
      </c>
      <c r="G10" s="15">
        <f>-E11*C3+D3</f>
        <v>-5.2318679482819749E-3</v>
      </c>
    </row>
    <row r="11" spans="1:10" x14ac:dyDescent="0.35">
      <c r="E11" s="14">
        <v>-0.22379928057084167</v>
      </c>
      <c r="F11" s="15">
        <f>E11*C4-D4</f>
        <v>-7.3159348472395455E-3</v>
      </c>
      <c r="G11" s="15">
        <f>-E12*C4+D4</f>
        <v>-9.7877211474303449E-3</v>
      </c>
    </row>
    <row r="12" spans="1:10" x14ac:dyDescent="0.35">
      <c r="E12" s="14">
        <v>-8.366913572518192E-2</v>
      </c>
      <c r="F12" s="15">
        <f>E12*C5-D5</f>
        <v>-9.8098777988034243E-3</v>
      </c>
      <c r="G12" s="15">
        <f>-E13*C5+D5</f>
        <v>-8.3073521179503132E-3</v>
      </c>
    </row>
    <row r="13" spans="1:10" x14ac:dyDescent="0.35">
      <c r="E13" s="14">
        <v>7.085398881915192E-2</v>
      </c>
      <c r="F13" s="15">
        <f>E13*C6-D6</f>
        <v>-8.5772012978854589E-3</v>
      </c>
      <c r="G13" s="15">
        <f>-E14*C6+D6</f>
        <v>-4.2886006489427364E-3</v>
      </c>
    </row>
    <row r="14" spans="1:10" x14ac:dyDescent="0.35">
      <c r="E14" s="14">
        <v>0.15065872065962788</v>
      </c>
      <c r="F14" s="15"/>
      <c r="G14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I14"/>
  <sheetViews>
    <sheetView zoomScale="200" zoomScaleNormal="200" workbookViewId="0">
      <selection activeCell="I2" sqref="I2"/>
    </sheetView>
  </sheetViews>
  <sheetFormatPr baseColWidth="10" defaultRowHeight="14.5" x14ac:dyDescent="0.35"/>
  <cols>
    <col min="3" max="3" width="6.54296875" bestFit="1" customWidth="1"/>
    <col min="4" max="4" width="7.1796875" bestFit="1" customWidth="1"/>
    <col min="5" max="5" width="7.54296875" bestFit="1" customWidth="1"/>
  </cols>
  <sheetData>
    <row r="2" spans="1:9" x14ac:dyDescent="0.35">
      <c r="B2" s="2" t="s">
        <v>12</v>
      </c>
      <c r="C2" s="4">
        <f>I2*I13/I14</f>
        <v>1.3876116942685579</v>
      </c>
      <c r="H2" s="2" t="s">
        <v>0</v>
      </c>
      <c r="I2">
        <f>'Smile FX'!I2+0.0001</f>
        <v>1.389</v>
      </c>
    </row>
    <row r="3" spans="1:9" x14ac:dyDescent="0.35">
      <c r="C3" s="2" t="s">
        <v>17</v>
      </c>
      <c r="D3" s="2" t="s">
        <v>18</v>
      </c>
      <c r="E3" s="2" t="s">
        <v>19</v>
      </c>
      <c r="H3" s="2" t="s">
        <v>1</v>
      </c>
      <c r="I3" s="3">
        <f>'Smile FX'!I3</f>
        <v>3.0000000000000001E-3</v>
      </c>
    </row>
    <row r="4" spans="1:9" x14ac:dyDescent="0.35">
      <c r="A4">
        <v>-0.1</v>
      </c>
      <c r="B4" s="2" t="s">
        <v>13</v>
      </c>
      <c r="C4" s="1">
        <f>I7+I11-I9/2</f>
        <v>0.18</v>
      </c>
      <c r="D4">
        <f>F4</f>
        <v>1.1202089874644181</v>
      </c>
      <c r="E4" s="5">
        <f>BSDelta($C$2,D4,$I$6,C4,-1)*I13</f>
        <v>-0.10000000000000012</v>
      </c>
      <c r="F4">
        <f>$C$2*EXP(NORMSINV(-A4/$I$13)*C4*SQRT($I$6)+0.5*C4*C4*$I$6)</f>
        <v>1.1202089874644181</v>
      </c>
      <c r="H4" s="2" t="s">
        <v>2</v>
      </c>
      <c r="I4" s="3">
        <f>'Smile FX'!I4</f>
        <v>5.0000000000000001E-3</v>
      </c>
    </row>
    <row r="5" spans="1:9" x14ac:dyDescent="0.35">
      <c r="A5">
        <v>-0.25</v>
      </c>
      <c r="B5" s="2" t="s">
        <v>14</v>
      </c>
      <c r="C5" s="1">
        <f>I7+I10-I8/2</f>
        <v>0.14000000000000001</v>
      </c>
      <c r="D5">
        <f>F5</f>
        <v>1.2755742560591627</v>
      </c>
      <c r="E5" s="5">
        <f>BSDelta($C$2,D5,$I$6,C5,-1)*I13</f>
        <v>-0.25000000000000011</v>
      </c>
      <c r="F5">
        <f>$C$2*EXP(NORMSINV(-A5/$I$13)*C5*SQRT($I$6)+0.5*C5*C5*$I$6)</f>
        <v>1.2755742560591627</v>
      </c>
      <c r="H5" s="2" t="s">
        <v>3</v>
      </c>
      <c r="I5" s="3">
        <f>'Smile FX'!I5</f>
        <v>1E-3</v>
      </c>
    </row>
    <row r="6" spans="1:9" x14ac:dyDescent="0.35">
      <c r="A6">
        <v>0</v>
      </c>
      <c r="B6" s="2" t="s">
        <v>6</v>
      </c>
      <c r="C6" s="1">
        <f>I7</f>
        <v>0.12</v>
      </c>
      <c r="D6">
        <f>F6</f>
        <v>1.3976385518385563</v>
      </c>
      <c r="E6" s="5">
        <f>(BSDelta($C$2,D6,$I$6,C6,-1)+BSDelta($C$2,D6,$I$6,C6,1))*I13</f>
        <v>-4.4231640099212276E-16</v>
      </c>
      <c r="F6">
        <f>C2*EXP(0.5*I7*I7*I6)</f>
        <v>1.3976385518385563</v>
      </c>
      <c r="H6" s="2" t="s">
        <v>4</v>
      </c>
      <c r="I6">
        <f>'Smile FX'!I6</f>
        <v>1</v>
      </c>
    </row>
    <row r="7" spans="1:9" x14ac:dyDescent="0.35">
      <c r="A7">
        <v>0.25</v>
      </c>
      <c r="B7" s="2" t="s">
        <v>15</v>
      </c>
      <c r="C7" s="1">
        <f>I7+I10+I8/2</f>
        <v>0.12000000000000001</v>
      </c>
      <c r="D7">
        <f>F7</f>
        <v>1.5148930689233047</v>
      </c>
      <c r="E7" s="5">
        <f>BSDelta($C$2,D7,$I$6,C7,1)*I13</f>
        <v>0.25000000000000011</v>
      </c>
      <c r="F7">
        <f>$C$2*EXP(-NORMSINV(A7/$I$13)*C7*SQRT($I$6)+0.5*C7*C7*$I$6)</f>
        <v>1.5148930689233047</v>
      </c>
      <c r="H7" s="2" t="s">
        <v>6</v>
      </c>
      <c r="I7" s="1">
        <f>'Smile FX'!I7</f>
        <v>0.12</v>
      </c>
    </row>
    <row r="8" spans="1:9" x14ac:dyDescent="0.35">
      <c r="A8">
        <v>0.1</v>
      </c>
      <c r="B8" s="2" t="s">
        <v>16</v>
      </c>
      <c r="C8" s="1">
        <f>I7+I11+I9/2</f>
        <v>0.14000000000000001</v>
      </c>
      <c r="D8">
        <f>F8</f>
        <v>1.6761207051852425</v>
      </c>
      <c r="E8" s="5">
        <f>BSDelta($C$2,D8,$I$6,C8,1)*I13</f>
        <v>0.1000000000000002</v>
      </c>
      <c r="F8">
        <f>$C$2*EXP(-NORMSINV(A8/$I$13)*C8*SQRT($I$6)+0.5*C8*C8*$I$6)</f>
        <v>1.6761207051852425</v>
      </c>
      <c r="H8" s="2" t="s">
        <v>5</v>
      </c>
      <c r="I8" s="1">
        <f>'Smile FX'!I8</f>
        <v>-0.02</v>
      </c>
    </row>
    <row r="9" spans="1:9" x14ac:dyDescent="0.35">
      <c r="H9" s="2" t="s">
        <v>7</v>
      </c>
      <c r="I9" s="1">
        <f>'Smile FX'!I9</f>
        <v>-0.04</v>
      </c>
    </row>
    <row r="10" spans="1:9" x14ac:dyDescent="0.35">
      <c r="H10" s="2" t="s">
        <v>8</v>
      </c>
      <c r="I10" s="1">
        <f>'Smile FX'!I10</f>
        <v>0.01</v>
      </c>
    </row>
    <row r="11" spans="1:9" x14ac:dyDescent="0.35">
      <c r="H11" s="2" t="s">
        <v>9</v>
      </c>
      <c r="I11" s="1">
        <f>'Smile FX'!I11</f>
        <v>0.04</v>
      </c>
    </row>
    <row r="12" spans="1:9" x14ac:dyDescent="0.35">
      <c r="H12" s="2"/>
    </row>
    <row r="13" spans="1:9" x14ac:dyDescent="0.35">
      <c r="H13" s="2" t="s">
        <v>10</v>
      </c>
      <c r="I13">
        <f>EXP(-(I4-I5)*I6)</f>
        <v>0.99600798934399148</v>
      </c>
    </row>
    <row r="14" spans="1:9" x14ac:dyDescent="0.35">
      <c r="H14" s="2" t="s">
        <v>11</v>
      </c>
      <c r="I14">
        <f>EXP(-I3*I6)</f>
        <v>0.997004495503373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2:J14"/>
  <sheetViews>
    <sheetView zoomScale="200" zoomScaleNormal="200" workbookViewId="0"/>
  </sheetViews>
  <sheetFormatPr baseColWidth="10" defaultRowHeight="14.5" x14ac:dyDescent="0.35"/>
  <cols>
    <col min="5" max="5" width="9.26953125" bestFit="1" customWidth="1"/>
    <col min="6" max="7" width="8.7265625" bestFit="1" customWidth="1"/>
    <col min="8" max="9" width="8.26953125" bestFit="1" customWidth="1"/>
    <col min="10" max="10" width="7.26953125" bestFit="1" customWidth="1"/>
  </cols>
  <sheetData>
    <row r="2" spans="1:10" ht="15" thickBot="1" x14ac:dyDescent="0.4">
      <c r="A2" s="2" t="s">
        <v>18</v>
      </c>
      <c r="B2" s="2" t="s">
        <v>20</v>
      </c>
      <c r="C2" s="2" t="s">
        <v>21</v>
      </c>
      <c r="D2" s="2" t="s">
        <v>22</v>
      </c>
      <c r="E2">
        <v>1</v>
      </c>
      <c r="F2">
        <v>2</v>
      </c>
      <c r="G2">
        <v>3</v>
      </c>
      <c r="H2">
        <v>4</v>
      </c>
      <c r="I2">
        <v>5</v>
      </c>
    </row>
    <row r="3" spans="1:10" x14ac:dyDescent="0.35">
      <c r="A3" s="4">
        <f>'Smile FX Spot + 1pips'!D4</f>
        <v>1.1202089874644181</v>
      </c>
      <c r="B3" s="1">
        <f>'Smile FX Spot + 1pips'!C4</f>
        <v>0.18</v>
      </c>
      <c r="C3" s="4">
        <f t="shared" ref="C3:D6" si="0">(A4-A3)</f>
        <v>0.15536526859474464</v>
      </c>
      <c r="D3" s="4">
        <f t="shared" si="0"/>
        <v>-3.999999999999998E-2</v>
      </c>
      <c r="E3" s="6">
        <f>2/C3</f>
        <v>12.872889919926747</v>
      </c>
      <c r="F3" s="7">
        <f>1/C3</f>
        <v>6.4364449599633735</v>
      </c>
      <c r="G3" s="7">
        <v>0</v>
      </c>
      <c r="H3" s="7">
        <v>0</v>
      </c>
      <c r="I3" s="7">
        <v>0</v>
      </c>
      <c r="J3" s="12">
        <f>3*D3/C3/C3</f>
        <v>-4.9713388467165469</v>
      </c>
    </row>
    <row r="4" spans="1:10" x14ac:dyDescent="0.35">
      <c r="A4" s="4">
        <f>'Smile FX Spot + 1pips'!D5</f>
        <v>1.2755742560591627</v>
      </c>
      <c r="B4" s="1">
        <f>'Smile FX Spot + 1pips'!C5</f>
        <v>0.14000000000000001</v>
      </c>
      <c r="C4" s="4">
        <f t="shared" si="0"/>
        <v>0.12206429577939359</v>
      </c>
      <c r="D4" s="4">
        <f t="shared" si="0"/>
        <v>-2.0000000000000018E-2</v>
      </c>
      <c r="E4" s="8">
        <f>1/C3</f>
        <v>6.4364449599633735</v>
      </c>
      <c r="F4" s="9">
        <f>2*(1/C3+1/C4)</f>
        <v>29.257697510301853</v>
      </c>
      <c r="G4" s="9">
        <f>1/C4</f>
        <v>8.1924037951875519</v>
      </c>
      <c r="H4" s="9">
        <v>0</v>
      </c>
      <c r="I4" s="9">
        <v>0</v>
      </c>
      <c r="J4" s="13">
        <f>3*(D3/C3/C3+D4/C4/C4)</f>
        <v>-8.9982676433207551</v>
      </c>
    </row>
    <row r="5" spans="1:10" x14ac:dyDescent="0.35">
      <c r="A5" s="4">
        <f>'Smile FX Spot + 1pips'!D6</f>
        <v>1.3976385518385563</v>
      </c>
      <c r="B5" s="1">
        <f>'Smile FX Spot + 1pips'!C6</f>
        <v>0.12</v>
      </c>
      <c r="C5" s="4">
        <f t="shared" si="0"/>
        <v>0.11725451708474832</v>
      </c>
      <c r="D5" s="4">
        <f t="shared" si="0"/>
        <v>1.3877787807814457E-17</v>
      </c>
      <c r="E5" s="8">
        <v>0</v>
      </c>
      <c r="F5" s="9">
        <f>1/C4</f>
        <v>8.1924037951875519</v>
      </c>
      <c r="G5" s="9">
        <f>2*(1/C4+1/C5)</f>
        <v>33.441719765063056</v>
      </c>
      <c r="H5" s="9">
        <f>1/C5</f>
        <v>8.5284560873439759</v>
      </c>
      <c r="I5" s="9">
        <v>0</v>
      </c>
      <c r="J5" s="13">
        <f>3*(D4/C4/C4+D5/C5/C5)</f>
        <v>-4.0269287966042047</v>
      </c>
    </row>
    <row r="6" spans="1:10" x14ac:dyDescent="0.35">
      <c r="A6" s="4">
        <f>'Smile FX Spot + 1pips'!D7</f>
        <v>1.5148930689233047</v>
      </c>
      <c r="B6" s="1">
        <f>'Smile FX Spot + 1pips'!C7</f>
        <v>0.12000000000000001</v>
      </c>
      <c r="C6" s="4">
        <f t="shared" si="0"/>
        <v>0.16122763626193781</v>
      </c>
      <c r="D6" s="4">
        <f t="shared" si="0"/>
        <v>2.0000000000000004E-2</v>
      </c>
      <c r="E6" s="8">
        <v>0</v>
      </c>
      <c r="F6" s="9">
        <v>0</v>
      </c>
      <c r="G6" s="9">
        <f>1/C5</f>
        <v>8.5284560873439759</v>
      </c>
      <c r="H6" s="9">
        <f>2*(1/C5+1/C6)</f>
        <v>29.461733372653718</v>
      </c>
      <c r="I6" s="9">
        <f>1/C6</f>
        <v>6.2024105989828824</v>
      </c>
      <c r="J6" s="13">
        <f>3*(D5/C5/C5+D6/C6/C6)</f>
        <v>2.3081938343025152</v>
      </c>
    </row>
    <row r="7" spans="1:10" ht="15" thickBot="1" x14ac:dyDescent="0.4">
      <c r="A7" s="4">
        <f>'Smile FX Spot + 1pips'!D8</f>
        <v>1.6761207051852425</v>
      </c>
      <c r="B7" s="1">
        <f>'Smile FX Spot + 1pips'!C8</f>
        <v>0.14000000000000001</v>
      </c>
      <c r="C7" s="4"/>
      <c r="D7" s="1"/>
      <c r="E7" s="10">
        <v>0</v>
      </c>
      <c r="F7" s="11">
        <v>0</v>
      </c>
      <c r="G7" s="11">
        <v>0</v>
      </c>
      <c r="H7" s="11">
        <f>1/C6</f>
        <v>6.2024105989828824</v>
      </c>
      <c r="I7" s="11">
        <f>2/C6</f>
        <v>12.404821197965765</v>
      </c>
      <c r="J7" s="16">
        <f>3*D6/C6/C6</f>
        <v>2.3081938343025121</v>
      </c>
    </row>
    <row r="9" spans="1:10" x14ac:dyDescent="0.35">
      <c r="E9" s="2" t="s">
        <v>23</v>
      </c>
      <c r="F9" s="2" t="s">
        <v>24</v>
      </c>
      <c r="G9" s="2" t="s">
        <v>25</v>
      </c>
    </row>
    <row r="10" spans="1:10" x14ac:dyDescent="0.35">
      <c r="E10" s="14">
        <f t="array" ref="E10:E14">MMULT(MINVERSE(E3:I7),J3:J7)</f>
        <v>-0.27429511344199159</v>
      </c>
      <c r="F10" s="15">
        <f>E10*C3-D3</f>
        <v>-2.6159339741409979E-3</v>
      </c>
      <c r="G10" s="15">
        <f>-E11*C3+D3</f>
        <v>-5.2318679482819819E-3</v>
      </c>
    </row>
    <row r="11" spans="1:10" x14ac:dyDescent="0.35">
      <c r="E11" s="14">
        <v>-0.22378316831162134</v>
      </c>
      <c r="F11" s="15">
        <f>E11*C4-D4</f>
        <v>-7.315934847239549E-3</v>
      </c>
      <c r="G11" s="15">
        <f>-E12*C4+D4</f>
        <v>-9.7877211474303519E-3</v>
      </c>
    </row>
    <row r="12" spans="1:10" x14ac:dyDescent="0.35">
      <c r="E12" s="14">
        <v>-8.3663112029305306E-2</v>
      </c>
      <c r="F12" s="15">
        <f>E12*C5-D5</f>
        <v>-9.8098777988034052E-3</v>
      </c>
      <c r="G12" s="15">
        <f>-E13*C5+D5</f>
        <v>-8.3073521179502854E-3</v>
      </c>
    </row>
    <row r="13" spans="1:10" x14ac:dyDescent="0.35">
      <c r="E13" s="14">
        <v>7.0848887740043096E-2</v>
      </c>
      <c r="F13" s="15">
        <f>E13*C6-D6</f>
        <v>-8.5772012978854711E-3</v>
      </c>
      <c r="G13" s="15">
        <f>-E14*C6+D6</f>
        <v>-4.2886006489427295E-3</v>
      </c>
    </row>
    <row r="14" spans="1:10" x14ac:dyDescent="0.35">
      <c r="E14" s="14">
        <v>0.15064787409946492</v>
      </c>
      <c r="F14" s="15"/>
      <c r="G14" s="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U23"/>
  <sheetViews>
    <sheetView topLeftCell="C2" zoomScale="200" zoomScaleNormal="200" workbookViewId="0">
      <selection activeCell="J8" sqref="J8"/>
    </sheetView>
  </sheetViews>
  <sheetFormatPr baseColWidth="10" defaultRowHeight="14.5" x14ac:dyDescent="0.35"/>
  <cols>
    <col min="12" max="12" width="8.7265625" customWidth="1"/>
    <col min="20" max="20" width="6.54296875" bestFit="1" customWidth="1"/>
  </cols>
  <sheetData>
    <row r="1" spans="1:21" x14ac:dyDescent="0.35">
      <c r="B1">
        <f>(D1-C1)/20</f>
        <v>6.0000000000000012E-2</v>
      </c>
      <c r="C1">
        <v>0.9</v>
      </c>
      <c r="D1">
        <v>2.1</v>
      </c>
    </row>
    <row r="2" spans="1:21" x14ac:dyDescent="0.35">
      <c r="B2" t="s">
        <v>18</v>
      </c>
      <c r="C2" s="2" t="s">
        <v>35</v>
      </c>
      <c r="D2" s="2" t="s">
        <v>36</v>
      </c>
    </row>
    <row r="3" spans="1:21" x14ac:dyDescent="0.35">
      <c r="A3">
        <v>1</v>
      </c>
      <c r="B3">
        <f>C1</f>
        <v>0.9</v>
      </c>
      <c r="C3" s="5">
        <f t="shared" ref="C3:C23" si="0">Spline(B3,Ks,Vols,coeffa,coeffb)</f>
        <v>0.2366778379682884</v>
      </c>
      <c r="D3" s="5">
        <f>Spline(B3,'Spline Spot + 1 pips'!Ks,'Spline Spot + 1 pips'!Vols,'Spline Spot + 1 pips'!coeffa,'Spline Spot + 1 pips'!coeffb)</f>
        <v>0.23669452110015965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9"/>
      <c r="T3" s="3"/>
      <c r="U3" s="3"/>
    </row>
    <row r="4" spans="1:21" x14ac:dyDescent="0.35">
      <c r="A4">
        <f>A3+1</f>
        <v>2</v>
      </c>
      <c r="B4">
        <f>B3+$B$1</f>
        <v>0.96000000000000008</v>
      </c>
      <c r="C4" s="5">
        <f t="shared" si="0"/>
        <v>0.22122925785558487</v>
      </c>
      <c r="D4" s="5">
        <f>Spline(B4,'Spline Spot + 1 pips'!Ks,'Spline Spot + 1 pips'!Vols,'Spline Spot + 1 pips'!coeffa,'Spline Spot + 1 pips'!coeffb)</f>
        <v>0.22124705319624752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9"/>
      <c r="T4" s="3"/>
      <c r="U4" s="3"/>
    </row>
    <row r="5" spans="1:21" x14ac:dyDescent="0.35">
      <c r="A5">
        <f t="shared" ref="A5:A23" si="1">A4+1</f>
        <v>3</v>
      </c>
      <c r="B5">
        <f t="shared" ref="B5:B23" si="2">B4+$B$1</f>
        <v>1.02</v>
      </c>
      <c r="C5" s="5">
        <f t="shared" si="0"/>
        <v>0.20578067774288136</v>
      </c>
      <c r="D5" s="5">
        <f>Spline(B5,'Spline Spot + 1 pips'!Ks,'Spline Spot + 1 pips'!Vols,'Spline Spot + 1 pips'!coeffa,'Spline Spot + 1 pips'!coeffb)</f>
        <v>0.20579958529233544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9"/>
      <c r="T5" s="3"/>
      <c r="U5" s="3"/>
    </row>
    <row r="6" spans="1:21" x14ac:dyDescent="0.35">
      <c r="A6">
        <f t="shared" si="1"/>
        <v>4</v>
      </c>
      <c r="B6">
        <f t="shared" si="2"/>
        <v>1.08</v>
      </c>
      <c r="C6" s="5">
        <f t="shared" si="0"/>
        <v>0.19033209763017789</v>
      </c>
      <c r="D6" s="5">
        <f>Spline(B6,'Spline Spot + 1 pips'!Ks,'Spline Spot + 1 pips'!Vols,'Spline Spot + 1 pips'!coeffa,'Spline Spot + 1 pips'!coeffb)</f>
        <v>0.19035211738842336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9"/>
      <c r="T6" s="3"/>
      <c r="U6" s="3"/>
    </row>
    <row r="7" spans="1:21" x14ac:dyDescent="0.35">
      <c r="A7">
        <f t="shared" si="1"/>
        <v>5</v>
      </c>
      <c r="B7">
        <f t="shared" si="2"/>
        <v>1.1400000000000001</v>
      </c>
      <c r="C7" s="5">
        <f t="shared" si="0"/>
        <v>0.17455438272063489</v>
      </c>
      <c r="D7" s="5">
        <f>Spline(B7,'Spline Spot + 1 pips'!Ks,'Spline Spot + 1 pips'!Vols,'Spline Spot + 1 pips'!coeffa,'Spline Spot + 1 pips'!coeffb)</f>
        <v>0.17457682912866454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9"/>
      <c r="T7" s="3"/>
      <c r="U7" s="3"/>
    </row>
    <row r="8" spans="1:21" x14ac:dyDescent="0.35">
      <c r="A8">
        <f t="shared" si="1"/>
        <v>6</v>
      </c>
      <c r="B8">
        <f t="shared" si="2"/>
        <v>1.2000000000000002</v>
      </c>
      <c r="C8" s="5">
        <f t="shared" si="0"/>
        <v>0.15844551405181162</v>
      </c>
      <c r="D8" s="5">
        <f>Spline(B8,'Spline Spot + 1 pips'!Ks,'Spline Spot + 1 pips'!Vols,'Spline Spot + 1 pips'!coeffa,'Spline Spot + 1 pips'!coeffb)</f>
        <v>0.15846806063601193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9"/>
      <c r="T8" s="3"/>
      <c r="U8" s="3"/>
    </row>
    <row r="9" spans="1:21" x14ac:dyDescent="0.35">
      <c r="A9">
        <f t="shared" si="1"/>
        <v>7</v>
      </c>
      <c r="B9">
        <f t="shared" si="2"/>
        <v>1.2600000000000002</v>
      </c>
      <c r="C9" s="5">
        <f t="shared" si="0"/>
        <v>0.14354030926534311</v>
      </c>
      <c r="D9" s="5">
        <f>Spline(B9,'Spline Spot + 1 pips'!Ks,'Spline Spot + 1 pips'!Vols,'Spline Spot + 1 pips'!coeffa,'Spline Spot + 1 pips'!coeffb)</f>
        <v>0.14356148096405064</v>
      </c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9"/>
      <c r="T9" s="3"/>
      <c r="U9" s="3"/>
    </row>
    <row r="10" spans="1:21" x14ac:dyDescent="0.35">
      <c r="A10">
        <f t="shared" si="1"/>
        <v>8</v>
      </c>
      <c r="B10">
        <f t="shared" si="2"/>
        <v>1.3200000000000003</v>
      </c>
      <c r="C10" s="5">
        <f t="shared" si="0"/>
        <v>0.13080134476217989</v>
      </c>
      <c r="D10" s="5">
        <f>Spline(B10,'Spline Spot + 1 pips'!Ks,'Spline Spot + 1 pips'!Vols,'Spline Spot + 1 pips'!coeffa,'Spline Spot + 1 pips'!coeffb)</f>
        <v>0.13081909817304302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9"/>
      <c r="T10" s="3"/>
      <c r="U10" s="3"/>
    </row>
    <row r="11" spans="1:21" x14ac:dyDescent="0.35">
      <c r="A11">
        <f t="shared" si="1"/>
        <v>9</v>
      </c>
      <c r="B11">
        <f t="shared" si="2"/>
        <v>1.3800000000000003</v>
      </c>
      <c r="C11" s="5">
        <f t="shared" si="0"/>
        <v>0.1217131638438973</v>
      </c>
      <c r="D11" s="5">
        <f>Spline(B11,'Spline Spot + 1 pips'!Ks,'Spline Spot + 1 pips'!Vols,'Spline Spot + 1 pips'!coeffa,'Spline Spot + 1 pips'!coeffb)</f>
        <v>0.12172422710225296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9"/>
      <c r="T11" s="3"/>
      <c r="U11" s="3"/>
    </row>
    <row r="12" spans="1:21" x14ac:dyDescent="0.35">
      <c r="A12">
        <f t="shared" si="1"/>
        <v>10</v>
      </c>
      <c r="B12">
        <f t="shared" si="2"/>
        <v>1.4400000000000004</v>
      </c>
      <c r="C12" s="5">
        <f t="shared" si="0"/>
        <v>0.11785961236251641</v>
      </c>
      <c r="D12" s="5">
        <f>Spline(B12,'Spline Spot + 1 pips'!Ks,'Spline Spot + 1 pips'!Vols,'Spline Spot + 1 pips'!coeffa,'Spline Spot + 1 pips'!coeffb)</f>
        <v>0.11786157163597868</v>
      </c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9"/>
      <c r="T12" s="3"/>
      <c r="U12" s="3"/>
    </row>
    <row r="13" spans="1:21" x14ac:dyDescent="0.35">
      <c r="A13">
        <f t="shared" si="1"/>
        <v>11</v>
      </c>
      <c r="B13">
        <f t="shared" si="2"/>
        <v>1.5000000000000004</v>
      </c>
      <c r="C13" s="5">
        <f t="shared" si="0"/>
        <v>0.11906370095136366</v>
      </c>
      <c r="D13" s="5">
        <f>Spline(B13,'Spline Spot + 1 pips'!Ks,'Spline Spot + 1 pips'!Vols,'Spline Spot + 1 pips'!coeffa,'Spline Spot + 1 pips'!coeffb)</f>
        <v>0.11905770223561972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9"/>
      <c r="T13" s="3"/>
      <c r="U13" s="3"/>
    </row>
    <row r="14" spans="1:21" x14ac:dyDescent="0.35">
      <c r="A14">
        <f t="shared" si="1"/>
        <v>12</v>
      </c>
      <c r="B14">
        <f t="shared" si="2"/>
        <v>1.5600000000000005</v>
      </c>
      <c r="C14" s="5">
        <f t="shared" si="0"/>
        <v>0.12412117313941089</v>
      </c>
      <c r="D14" s="5">
        <f>Spline(B14,'Spline Spot + 1 pips'!Ks,'Spline Spot + 1 pips'!Vols,'Spline Spot + 1 pips'!coeffa,'Spline Spot + 1 pips'!coeffb)</f>
        <v>0.12410889735034832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9"/>
      <c r="T14" s="3"/>
      <c r="U14" s="3"/>
    </row>
    <row r="15" spans="1:21" x14ac:dyDescent="0.35">
      <c r="A15">
        <f t="shared" si="1"/>
        <v>13</v>
      </c>
      <c r="B15">
        <f t="shared" si="2"/>
        <v>1.6200000000000006</v>
      </c>
      <c r="C15" s="5">
        <f t="shared" si="0"/>
        <v>0.13174285108731984</v>
      </c>
      <c r="D15" s="5">
        <f>Spline(B15,'Spline Spot + 1 pips'!Ks,'Spline Spot + 1 pips'!Vols,'Spline Spot + 1 pips'!coeffa,'Spline Spot + 1 pips'!coeffb)</f>
        <v>0.13172640505683123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9"/>
      <c r="T15" s="3"/>
      <c r="U15" s="3"/>
    </row>
    <row r="16" spans="1:21" x14ac:dyDescent="0.35">
      <c r="A16">
        <f t="shared" si="1"/>
        <v>14</v>
      </c>
      <c r="B16">
        <f t="shared" si="2"/>
        <v>1.6800000000000006</v>
      </c>
      <c r="C16" s="5">
        <f t="shared" si="0"/>
        <v>0.1404962243371958</v>
      </c>
      <c r="D16" s="5">
        <f>Spline(B16,'Spline Spot + 1 pips'!Ks,'Spline Spot + 1 pips'!Vols,'Spline Spot + 1 pips'!coeffa,'Spline Spot + 1 pips'!coeffb)</f>
        <v>0.14048121958551271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9"/>
      <c r="T16" s="3"/>
      <c r="U16" s="3"/>
    </row>
    <row r="17" spans="1:21" x14ac:dyDescent="0.35">
      <c r="A17">
        <f t="shared" si="1"/>
        <v>15</v>
      </c>
      <c r="B17">
        <f t="shared" si="2"/>
        <v>1.7400000000000007</v>
      </c>
      <c r="C17" s="5">
        <f t="shared" si="0"/>
        <v>0.14793965293996394</v>
      </c>
      <c r="D17" s="5">
        <f>Spline(B17,'Spline Spot + 1 pips'!Ks,'Spline Spot + 1 pips'!Vols,'Spline Spot + 1 pips'!coeffa,'Spline Spot + 1 pips'!coeffb)</f>
        <v>0.14792411230429217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9"/>
      <c r="T17" s="3"/>
      <c r="U17" s="3"/>
    </row>
    <row r="18" spans="1:21" x14ac:dyDescent="0.35">
      <c r="A18">
        <f t="shared" si="1"/>
        <v>16</v>
      </c>
      <c r="B18">
        <f t="shared" si="2"/>
        <v>1.8000000000000007</v>
      </c>
      <c r="C18" s="5">
        <f t="shared" si="0"/>
        <v>0.15538308154273212</v>
      </c>
      <c r="D18" s="5">
        <f>Spline(B18,'Spline Spot + 1 pips'!Ks,'Spline Spot + 1 pips'!Vols,'Spline Spot + 1 pips'!coeffa,'Spline Spot + 1 pips'!coeffb)</f>
        <v>0.15536700502307166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9"/>
      <c r="T18" s="3"/>
      <c r="U18" s="3"/>
    </row>
    <row r="19" spans="1:21" x14ac:dyDescent="0.35">
      <c r="A19">
        <f t="shared" si="1"/>
        <v>17</v>
      </c>
      <c r="B19">
        <f t="shared" si="2"/>
        <v>1.8600000000000008</v>
      </c>
      <c r="C19" s="5">
        <f t="shared" si="0"/>
        <v>0.16282651014550031</v>
      </c>
      <c r="D19" s="5">
        <f>Spline(B19,'Spline Spot + 1 pips'!Ks,'Spline Spot + 1 pips'!Vols,'Spline Spot + 1 pips'!coeffa,'Spline Spot + 1 pips'!coeffb)</f>
        <v>0.16280989774185109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9"/>
      <c r="T19" s="3"/>
      <c r="U19" s="3"/>
    </row>
    <row r="20" spans="1:21" x14ac:dyDescent="0.35">
      <c r="A20">
        <f t="shared" si="1"/>
        <v>18</v>
      </c>
      <c r="B20">
        <f t="shared" si="2"/>
        <v>1.9200000000000008</v>
      </c>
      <c r="C20" s="5">
        <f t="shared" si="0"/>
        <v>0.17026993874826837</v>
      </c>
      <c r="D20" s="5">
        <f>Spline(B20,'Spline Spot + 1 pips'!Ks,'Spline Spot + 1 pips'!Vols,'Spline Spot + 1 pips'!coeffa,'Spline Spot + 1 pips'!coeffb)</f>
        <v>0.1702527904606306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9"/>
      <c r="T20" s="3"/>
      <c r="U20" s="3"/>
    </row>
    <row r="21" spans="1:21" x14ac:dyDescent="0.35">
      <c r="A21">
        <f t="shared" si="1"/>
        <v>19</v>
      </c>
      <c r="B21">
        <f t="shared" si="2"/>
        <v>1.9800000000000009</v>
      </c>
      <c r="C21" s="5">
        <f t="shared" si="0"/>
        <v>0.1777133673510366</v>
      </c>
      <c r="D21" s="5">
        <f>Spline(B21,'Spline Spot + 1 pips'!Ks,'Spline Spot + 1 pips'!Vols,'Spline Spot + 1 pips'!coeffa,'Spline Spot + 1 pips'!coeffb)</f>
        <v>0.17769568317941004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9"/>
      <c r="T21" s="3"/>
      <c r="U21" s="3"/>
    </row>
    <row r="22" spans="1:21" x14ac:dyDescent="0.35">
      <c r="A22">
        <f t="shared" si="1"/>
        <v>20</v>
      </c>
      <c r="B22">
        <f t="shared" si="2"/>
        <v>2.0400000000000009</v>
      </c>
      <c r="C22" s="5">
        <f t="shared" si="0"/>
        <v>0.18515679595380474</v>
      </c>
      <c r="D22" s="5">
        <f>Spline(B22,'Spline Spot + 1 pips'!Ks,'Spline Spot + 1 pips'!Vols,'Spline Spot + 1 pips'!coeffa,'Spline Spot + 1 pips'!coeffb)</f>
        <v>0.18513857589818955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9"/>
      <c r="T22" s="3"/>
      <c r="U22" s="3"/>
    </row>
    <row r="23" spans="1:21" x14ac:dyDescent="0.35">
      <c r="A23">
        <f t="shared" si="1"/>
        <v>21</v>
      </c>
      <c r="B23">
        <f t="shared" si="2"/>
        <v>2.100000000000001</v>
      </c>
      <c r="C23" s="5">
        <f t="shared" si="0"/>
        <v>0.19260022455657289</v>
      </c>
      <c r="D23" s="5">
        <f>Spline(B23,'Spline Spot + 1 pips'!Ks,'Spline Spot + 1 pips'!Vols,'Spline Spot + 1 pips'!coeffa,'Spline Spot + 1 pips'!coeffb)</f>
        <v>0.19258146861696895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9"/>
      <c r="T23" s="3"/>
      <c r="U23" s="3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2:J21"/>
  <sheetViews>
    <sheetView zoomScale="200" zoomScaleNormal="200" workbookViewId="0">
      <selection activeCell="E10" sqref="E10"/>
    </sheetView>
  </sheetViews>
  <sheetFormatPr baseColWidth="10" defaultRowHeight="14.5" x14ac:dyDescent="0.35"/>
  <cols>
    <col min="2" max="2" width="9.54296875" bestFit="1" customWidth="1"/>
    <col min="3" max="3" width="7.1796875" bestFit="1" customWidth="1"/>
    <col min="4" max="4" width="8.54296875" bestFit="1" customWidth="1"/>
    <col min="5" max="6" width="8.26953125" bestFit="1" customWidth="1"/>
    <col min="7" max="7" width="7.81640625" bestFit="1" customWidth="1"/>
    <col min="8" max="8" width="8.26953125" bestFit="1" customWidth="1"/>
    <col min="9" max="9" width="8" bestFit="1" customWidth="1"/>
    <col min="10" max="10" width="7.81640625" bestFit="1" customWidth="1"/>
  </cols>
  <sheetData>
    <row r="2" spans="1:10" x14ac:dyDescent="0.35">
      <c r="B2" s="2" t="s">
        <v>27</v>
      </c>
      <c r="C2" s="2" t="s">
        <v>17</v>
      </c>
      <c r="D2" s="20" t="s">
        <v>28</v>
      </c>
      <c r="E2" s="2" t="s">
        <v>29</v>
      </c>
      <c r="F2" s="2" t="s">
        <v>30</v>
      </c>
      <c r="G2" s="2" t="s">
        <v>19</v>
      </c>
      <c r="H2" s="2" t="s">
        <v>31</v>
      </c>
      <c r="I2" s="2" t="s">
        <v>32</v>
      </c>
      <c r="J2" s="2" t="s">
        <v>19</v>
      </c>
    </row>
    <row r="3" spans="1:10" x14ac:dyDescent="0.35">
      <c r="A3" s="2" t="s">
        <v>13</v>
      </c>
      <c r="B3" s="17">
        <f>'Smile FX'!$D$4</f>
        <v>1.120128338869208</v>
      </c>
      <c r="C3" s="5">
        <f>Spline($B3,Ks,Vols,coeffa,coeffb)</f>
        <v>0.18</v>
      </c>
      <c r="D3" s="5">
        <f>Spline($B3,'Spline Spot + 1 pips'!Ks,'Spline Spot + 1 pips'!Vols,'Spline Spot + 1 pips'!coeffa,'Spline Spot + 1 pips'!coeffb)</f>
        <v>0.18002076360976671</v>
      </c>
      <c r="E3" s="18">
        <f>BS('Smile FX'!$C$2,B3,'Smile FX'!$I$6,C3,-1)*'Smile FX'!$I$14</f>
        <v>1.2795596060022854E-2</v>
      </c>
      <c r="F3" s="18">
        <f>BS('Smile FX Spot + 1pips'!$C$2,B3,'Smile FX Spot + 1pips'!$I$6,D3,-1)*'Smile FX Spot + 1pips'!$I$14</f>
        <v>1.2790653411586908E-2</v>
      </c>
      <c r="G3" s="21">
        <f>(F3-E3)*10000</f>
        <v>-4.9426484359463979E-2</v>
      </c>
      <c r="H3" s="19">
        <f>BSDelta('Smile FX'!$C$2,B3,'Smile FX'!$I$6,C3,-1)*'Smile FX'!$I$13</f>
        <v>-0.10000000000000012</v>
      </c>
      <c r="I3" s="5">
        <f>BSVega('Smile FX'!$C$2,B3,'Smile FX'!$I$6,C3,-1)*'Smile FX'!$I$13</f>
        <v>0.2432431415039075</v>
      </c>
      <c r="J3" s="21">
        <f>H3+I3*(D3-C3)*10000</f>
        <v>-4.9493943313827185E-2</v>
      </c>
    </row>
    <row r="4" spans="1:10" x14ac:dyDescent="0.35">
      <c r="A4" s="2" t="s">
        <v>14</v>
      </c>
      <c r="B4" s="17">
        <f>'Smile FX'!$D$5</f>
        <v>1.2754824220594463</v>
      </c>
      <c r="C4" s="5">
        <f t="shared" ref="C4:C7" si="0">Spline(B4,Ks,Vols,coeffa,coeffb)</f>
        <v>0.14000000000000001</v>
      </c>
      <c r="D4" s="5">
        <f>Spline($B4,'Spline Spot + 1 pips'!Ks,'Spline Spot + 1 pips'!Vols,'Spline Spot + 1 pips'!coeffa,'Spline Spot + 1 pips'!coeffb)</f>
        <v>0.14002055364474694</v>
      </c>
      <c r="E4" s="18">
        <f>BS('Smile FX'!$C$2,B4,'Smile FX'!$I$6,C4,-1)*'Smile FX'!$I$14</f>
        <v>3.1210869661818436E-2</v>
      </c>
      <c r="F4" s="18">
        <f>BS('Smile FX Spot + 1pips'!$C$2,B4,'Smile FX Spot + 1pips'!$I$6,D4,-1)*'Smile FX Spot + 1pips'!$I$14</f>
        <v>3.1194930090839935E-2</v>
      </c>
      <c r="G4" s="21">
        <f>(F4-E4)*10000</f>
        <v>-0.15939570978500128</v>
      </c>
      <c r="H4" s="19">
        <f>BSDelta('Smile FX'!$C$2,B4,'Smile FX'!$I$6,C4,-1)*'Smile FX'!$I$13</f>
        <v>-0.25000000000000011</v>
      </c>
      <c r="I4" s="5">
        <f>BSVega('Smile FX'!$C$2,B4,'Smile FX'!$I$6,C4,-1)*'Smile FX'!$I$13</f>
        <v>0.44009040184374182</v>
      </c>
      <c r="J4" s="21">
        <f t="shared" ref="J4:J7" si="1">H4+I4*(D4-C4)*10000</f>
        <v>-0.15954538223970516</v>
      </c>
    </row>
    <row r="5" spans="1:10" x14ac:dyDescent="0.35">
      <c r="A5" s="2" t="s">
        <v>6</v>
      </c>
      <c r="B5" s="17">
        <f>'Smile FX'!$D$6</f>
        <v>1.3975379299125779</v>
      </c>
      <c r="C5" s="5">
        <f t="shared" si="0"/>
        <v>0.12</v>
      </c>
      <c r="D5" s="5">
        <f>Spline($B5,'Spline Spot + 1 pips'!Ks,'Spline Spot + 1 pips'!Vols,'Spline Spot + 1 pips'!coeffa,'Spline Spot + 1 pips'!coeffb)</f>
        <v>0.12000842667277113</v>
      </c>
      <c r="E5" s="18">
        <f>(BS('Smile FX'!$C$2,B5,'Smile FX'!$I$6,C5,-1)*'Smile FX'!$I$14+BS('Smile FX'!$C$2,B5,'Smile FX'!$I$6,C5,1)*'Smile FX'!$I$14)/2</f>
        <v>6.6544279250009136E-2</v>
      </c>
      <c r="F5" s="18">
        <f>(BS('Smile FX Spot + 1pips'!$C$2,B5,'Smile FX Spot + 1pips'!$I$6,D5,-1)*'Smile FX Spot + 1pips'!$I$14+BS('Smile FX Spot + 1pips'!$C$2,B5,'Smile FX Spot + 1pips'!$I$6,D5,1)*'Smile FX Spot + 1pips'!$I$14)/2</f>
        <v>6.6548942007814527E-2</v>
      </c>
      <c r="G5" s="21">
        <f>(F5-E5)*10000</f>
        <v>4.6627578053903829E-2</v>
      </c>
      <c r="H5" s="19">
        <f>(BSDelta('Smile FX'!$C$2,B5,'Smile FX'!$I$6,C5,-1)+BSDelta('Smile FX'!$C$2,B5,'Smile FX'!$I$6,C5,1))*'Smile FX'!$I$13/2</f>
        <v>-2.2115820049606138E-16</v>
      </c>
      <c r="I5" s="5">
        <f>(BSVega('Smile FX'!$C$2,B5,'Smile FX'!$I$6,C5,-1)+BSVega('Smile FX'!$C$2,B5,'Smile FX'!$I$6,C5,1))*'Smile FX'!$I$13/2</f>
        <v>0.55132739319082158</v>
      </c>
      <c r="J5" s="21">
        <f t="shared" si="1"/>
        <v>4.6458555321826252E-2</v>
      </c>
    </row>
    <row r="6" spans="1:10" x14ac:dyDescent="0.35">
      <c r="A6" s="2" t="s">
        <v>15</v>
      </c>
      <c r="B6" s="17">
        <f>'Smile FX'!$D$7</f>
        <v>1.5147840053474282</v>
      </c>
      <c r="C6" s="5">
        <f t="shared" si="0"/>
        <v>0.12000000000000001</v>
      </c>
      <c r="D6" s="5">
        <f>Spline($B6,'Spline Spot + 1 pips'!Ks,'Spline Spot + 1 pips'!Vols,'Spline Spot + 1 pips'!coeffa,'Spline Spot + 1 pips'!coeffb)</f>
        <v>0.11999227885548143</v>
      </c>
      <c r="E6" s="18">
        <f>BS('Smile FX'!$C$2,B6,'Smile FX'!$I$6,C6,1)*'Smile FX'!$I$14</f>
        <v>2.346919502203507E-2</v>
      </c>
      <c r="F6" s="18">
        <f>BS('Smile FX Spot + 1pips'!$C$2,B6,'Smile FX Spot + 1pips'!$I$6,D6,1)*'Smile FX Spot + 1pips'!$I$14</f>
        <v>2.3490801580470802E-2</v>
      </c>
      <c r="G6" s="21">
        <f>(F6-E6)*10000</f>
        <v>0.21606558435732087</v>
      </c>
      <c r="H6" s="19">
        <f>BSDelta('Smile FX'!$C$2,B6,'Smile FX'!$I$6,C6,1)*'Smile FX'!$I$13</f>
        <v>0.24999999999999969</v>
      </c>
      <c r="I6" s="5">
        <f>BSVega('Smile FX'!$C$2,B6,'Smile FX'!$I$6,C6,-1)*'Smile FX'!$I$13</f>
        <v>0.44009040184374149</v>
      </c>
      <c r="J6" s="21">
        <f t="shared" si="1"/>
        <v>0.21601998406124556</v>
      </c>
    </row>
    <row r="7" spans="1:10" x14ac:dyDescent="0.35">
      <c r="A7" s="2" t="s">
        <v>16</v>
      </c>
      <c r="B7" s="17">
        <f>'Smile FX'!$D$8</f>
        <v>1.6760000341481518</v>
      </c>
      <c r="C7" s="5">
        <f t="shared" si="0"/>
        <v>0.14000000000000001</v>
      </c>
      <c r="D7" s="5">
        <f>Spline($B7,'Spline Spot + 1 pips'!Ks,'Spline Spot + 1 pips'!Vols,'Spline Spot + 1 pips'!coeffa,'Spline Spot + 1 pips'!coeffb)</f>
        <v>0.13998182116659502</v>
      </c>
      <c r="E7" s="18">
        <f>BS('Smile FX'!$C$2,B7,'Smile FX'!$I$6,C7,1)*'Smile FX'!$I$14</f>
        <v>8.7039891956991067E-3</v>
      </c>
      <c r="F7" s="18">
        <f>BS('Smile FX Spot + 1pips'!$C$2,B7,'Smile FX Spot + 1pips'!$I$6,D7,1)*'Smile FX Spot + 1pips'!$I$14</f>
        <v>8.7095646943715025E-3</v>
      </c>
      <c r="G7" s="21">
        <f>(F7-E7)*10000</f>
        <v>5.5754986723957622E-2</v>
      </c>
      <c r="H7" s="19">
        <f>BSDelta('Smile FX'!$C$2,B7,'Smile FX'!$I$6,C7,1)*'Smile FX'!$I$13</f>
        <v>0.10000000000000032</v>
      </c>
      <c r="I7" s="5">
        <f>BSVega('Smile FX'!$C$2,B7,'Smile FX'!$I$6,C7,-1)*'Smile FX'!$I$13</f>
        <v>0.24324314150390783</v>
      </c>
      <c r="J7" s="21">
        <f t="shared" si="1"/>
        <v>5.5781234536937209E-2</v>
      </c>
    </row>
    <row r="9" spans="1:10" x14ac:dyDescent="0.35">
      <c r="B9" s="2" t="s">
        <v>27</v>
      </c>
      <c r="C9" s="2" t="s">
        <v>17</v>
      </c>
      <c r="D9" s="20" t="s">
        <v>28</v>
      </c>
      <c r="E9" s="2" t="s">
        <v>29</v>
      </c>
      <c r="F9" s="2" t="s">
        <v>30</v>
      </c>
      <c r="G9" s="2" t="s">
        <v>19</v>
      </c>
      <c r="H9" s="2" t="s">
        <v>31</v>
      </c>
      <c r="I9" s="2" t="s">
        <v>32</v>
      </c>
      <c r="J9" s="2" t="s">
        <v>19</v>
      </c>
    </row>
    <row r="10" spans="1:10" x14ac:dyDescent="0.35">
      <c r="A10" s="2" t="s">
        <v>13</v>
      </c>
      <c r="B10" s="17">
        <v>1.222</v>
      </c>
      <c r="C10" s="5">
        <f>Spline($B10,Ks,Vols,coeffa,coeffb)</f>
        <v>0.1527926859126659</v>
      </c>
      <c r="D10" s="5">
        <f>Spline($B10,'Spline Spot + 1 pips'!Ks,'Spline Spot + 1 pips'!Vols,'Spline Spot + 1 pips'!coeffa,'Spline Spot + 1 pips'!coeffb)</f>
        <v>0.15281490997243297</v>
      </c>
      <c r="E10" s="18">
        <f>BS('Smile FX'!$C$2,B10,'Smile FX'!$I$6,C10,-1)*'Smile FX'!$I$14</f>
        <v>2.2515821989648473E-2</v>
      </c>
      <c r="F10" s="18">
        <f>BS('Smile FX Spot + 1pips'!$C$2,B10,'Smile FX Spot + 1pips'!$I$6,D10,-1)*'Smile FX Spot + 1pips'!$I$14</f>
        <v>2.2505821013432053E-2</v>
      </c>
      <c r="G10" s="21">
        <f>(F10-E10)*10000</f>
        <v>-0.10000976216419794</v>
      </c>
      <c r="H10" s="19">
        <f>BSDelta('Smile FX'!$C$2,B10,'Smile FX'!$I$6,C10,-1)*'Smile FX'!$I$13</f>
        <v>-0.18128126697751556</v>
      </c>
      <c r="I10" s="5">
        <f>BSVega('Smile FX'!$C$2,B10,'Smile FX'!$I$6,C10,-1)*'Smile FX'!$I$13</f>
        <v>0.36515904631744334</v>
      </c>
      <c r="J10" s="21">
        <f>H10+I10*(D10-C10)*10000</f>
        <v>-0.10012810227907312</v>
      </c>
    </row>
    <row r="11" spans="1:10" x14ac:dyDescent="0.35">
      <c r="A11" s="2" t="s">
        <v>14</v>
      </c>
      <c r="B11" s="17">
        <v>1.32575</v>
      </c>
      <c r="C11" s="5">
        <f t="shared" ref="C11:C14" si="2">Spline(B11,Ks,Vols,coeffa,coeffb)</f>
        <v>0.1297444509507226</v>
      </c>
      <c r="D11" s="5">
        <f>Spline($B11,'Spline Spot + 1 pips'!Ks,'Spline Spot + 1 pips'!Vols,'Spline Spot + 1 pips'!coeffa,'Spline Spot + 1 pips'!coeffb)</f>
        <v>0.12976171287670826</v>
      </c>
      <c r="E11" s="18">
        <f>BS('Smile FX'!$C$2,B11,'Smile FX'!$I$6,C11,-1)*'Smile FX'!$I$14</f>
        <v>4.3429927633905081E-2</v>
      </c>
      <c r="F11" s="18">
        <f>BS('Smile FX Spot + 1pips'!$C$2,B11,'Smile FX Spot + 1pips'!$I$6,D11,-1)*'Smile FX Spot + 1pips'!$I$14</f>
        <v>4.3404932125090216E-2</v>
      </c>
      <c r="G11" s="21">
        <f>(F11-E11)*10000</f>
        <v>-0.24995508814865119</v>
      </c>
      <c r="H11" s="19">
        <f>BSDelta('Smile FX'!$C$2,B11,'Smile FX'!$I$6,C11,-1)*'Smile FX'!$I$13</f>
        <v>-0.33741791263000159</v>
      </c>
      <c r="I11" s="5">
        <f>BSVega('Smile FX'!$C$2,B11,'Smile FX'!$I$6,C11,-1)*'Smile FX'!$I$13</f>
        <v>0.50566531823607741</v>
      </c>
      <c r="J11" s="21">
        <f t="shared" ref="J11:J14" si="3">H11+I11*(D11-C11)*10000</f>
        <v>-0.25013033966089904</v>
      </c>
    </row>
    <row r="12" spans="1:10" x14ac:dyDescent="0.35">
      <c r="A12" s="2" t="s">
        <v>6</v>
      </c>
      <c r="B12" s="17">
        <v>1.4117500000000001</v>
      </c>
      <c r="C12" s="5">
        <f t="shared" si="2"/>
        <v>0.11897442834246501</v>
      </c>
      <c r="D12" s="5">
        <f>Spline($B12,'Spline Spot + 1 pips'!Ks,'Spline Spot + 1 pips'!Vols,'Spline Spot + 1 pips'!coeffa,'Spline Spot + 1 pips'!coeffb)</f>
        <v>0.11898062040666893</v>
      </c>
      <c r="E12" s="18">
        <f>(BS('Smile FX'!$C$2,B12,'Smile FX'!$I$6,C12,-1)*'Smile FX'!$I$14+BS('Smile FX'!$C$2,B12,'Smile FX'!$I$6,C12,1)*'Smile FX'!$I$14)/2</f>
        <v>6.6893115858684973E-2</v>
      </c>
      <c r="F12" s="18">
        <f>(BS('Smile FX Spot + 1pips'!$C$2,B12,'Smile FX Spot + 1pips'!$I$6,D12,-1)*'Smile FX Spot + 1pips'!$I$14+BS('Smile FX Spot + 1pips'!$C$2,B12,'Smile FX Spot + 1pips'!$I$6,D12,1)*'Smile FX Spot + 1pips'!$I$14)/2</f>
        <v>6.6893116986144432E-2</v>
      </c>
      <c r="G12" s="21">
        <f>(F12-E12)*10000</f>
        <v>1.127459459127067E-5</v>
      </c>
      <c r="H12" s="19">
        <f>(BSDelta('Smile FX'!$C$2,B12,'Smile FX'!$I$6,C12,-1)+BSDelta('Smile FX'!$C$2,B12,'Smile FX'!$I$6,C12,1))*'Smile FX'!$I$13/2</f>
        <v>-3.4159094877313785E-2</v>
      </c>
      <c r="I12" s="5">
        <f>(BSVega('Smile FX'!$C$2,B12,'Smile FX'!$I$6,C12,-1)+BSVega('Smile FX'!$C$2,B12,'Smile FX'!$I$6,C12,1))*'Smile FX'!$I$13/2</f>
        <v>0.54928887610627763</v>
      </c>
      <c r="J12" s="21">
        <f t="shared" si="3"/>
        <v>-1.4677500381126557E-4</v>
      </c>
    </row>
    <row r="13" spans="1:10" x14ac:dyDescent="0.35">
      <c r="A13" s="2" t="s">
        <v>15</v>
      </c>
      <c r="B13" s="17">
        <v>1.4986999999999999</v>
      </c>
      <c r="C13" s="5">
        <f t="shared" si="2"/>
        <v>0.11899232160091486</v>
      </c>
      <c r="D13" s="5">
        <f>Spline($B13,'Spline Spot + 1 pips'!Ks,'Spline Spot + 1 pips'!Vols,'Spline Spot + 1 pips'!coeffa,'Spline Spot + 1 pips'!coeffb)</f>
        <v>0.11898647909938456</v>
      </c>
      <c r="E13" s="18">
        <f>BS('Smile FX'!$C$2,B13,'Smile FX'!$I$6,C13,1)*'Smile FX'!$I$14</f>
        <v>2.665077488452218E-2</v>
      </c>
      <c r="F13" s="18">
        <f>BS('Smile FX Spot + 1pips'!$C$2,B13,'Smile FX Spot + 1pips'!$I$6,D13,1)*'Smile FX Spot + 1pips'!$I$14</f>
        <v>2.6675776509317187E-2</v>
      </c>
      <c r="G13" s="21">
        <f>(F13-E13)*10000</f>
        <v>0.25001624795007588</v>
      </c>
      <c r="H13" s="19">
        <f>BSDelta('Smile FX'!$C$2,B13,'Smile FX'!$I$6,C13,1)*'Smile FX'!$I$13</f>
        <v>0.27704596238840989</v>
      </c>
      <c r="I13" s="5">
        <f>BSVega('Smile FX'!$C$2,B13,'Smile FX'!$I$6,C13,-1)*'Smile FX'!$I$13</f>
        <v>0.46371233857335797</v>
      </c>
      <c r="J13" s="21">
        <f t="shared" si="3"/>
        <v>0.24995356191109278</v>
      </c>
    </row>
    <row r="14" spans="1:10" x14ac:dyDescent="0.35">
      <c r="A14" s="2" t="s">
        <v>16</v>
      </c>
      <c r="B14" s="17">
        <v>1.5992999999999999</v>
      </c>
      <c r="C14" s="5">
        <f t="shared" si="2"/>
        <v>0.12890629617504804</v>
      </c>
      <c r="D14" s="5">
        <f>Spline($B14,'Spline Spot + 1 pips'!Ks,'Spline Spot + 1 pips'!Vols,'Spline Spot + 1 pips'!coeffa,'Spline Spot + 1 pips'!coeffb)</f>
        <v>0.12889103224035178</v>
      </c>
      <c r="E14" s="18">
        <f>BS('Smile FX'!$C$2,B14,'Smile FX'!$I$6,C14,1)*'Smile FX'!$I$14</f>
        <v>1.3067674529474419E-2</v>
      </c>
      <c r="F14" s="18">
        <f>BS('Smile FX Spot + 1pips'!$C$2,B14,'Smile FX Spot + 1pips'!$I$6,D14,1)*'Smile FX Spot + 1pips'!$I$14</f>
        <v>1.3077674971547978E-2</v>
      </c>
      <c r="G14" s="21">
        <f>(F14-E14)*10000</f>
        <v>0.10000442073559643</v>
      </c>
      <c r="H14" s="19">
        <f>BSDelta('Smile FX'!$C$2,B14,'Smile FX'!$I$6,C14,1)*'Smile FX'!$I$13</f>
        <v>0.14914415928237681</v>
      </c>
      <c r="I14" s="5">
        <f>BSVega('Smile FX'!$C$2,B14,'Smile FX'!$I$6,C14,-1)*'Smile FX'!$I$13</f>
        <v>0.32184925698619143</v>
      </c>
      <c r="J14" s="21">
        <f t="shared" si="3"/>
        <v>0.10001729887563091</v>
      </c>
    </row>
    <row r="16" spans="1:10" x14ac:dyDescent="0.35">
      <c r="D16" s="2" t="s">
        <v>37</v>
      </c>
      <c r="E16" s="2" t="s">
        <v>38</v>
      </c>
    </row>
    <row r="17" spans="3:5" x14ac:dyDescent="0.35">
      <c r="D17" s="3">
        <f>C12</f>
        <v>0.11897442834246501</v>
      </c>
      <c r="E17" s="3">
        <f>D5</f>
        <v>0.12000842667277113</v>
      </c>
    </row>
    <row r="18" spans="3:5" x14ac:dyDescent="0.35">
      <c r="C18" s="2" t="s">
        <v>5</v>
      </c>
      <c r="D18" s="3">
        <f>D13-D11</f>
        <v>-1.0775233777323701E-2</v>
      </c>
      <c r="E18" s="3">
        <f>D6-D4</f>
        <v>-2.0028274789265513E-2</v>
      </c>
    </row>
    <row r="19" spans="3:5" x14ac:dyDescent="0.35">
      <c r="C19" s="2" t="s">
        <v>7</v>
      </c>
      <c r="D19" s="3">
        <f>D14-D10</f>
        <v>-2.3923877732081184E-2</v>
      </c>
      <c r="E19" s="3">
        <f>D7-D3</f>
        <v>-4.0038942443171688E-2</v>
      </c>
    </row>
    <row r="20" spans="3:5" x14ac:dyDescent="0.35">
      <c r="C20" s="2" t="s">
        <v>8</v>
      </c>
      <c r="D20" s="3">
        <f>(D11+D13-2*D12)/2</f>
        <v>5.3934755813774826E-3</v>
      </c>
      <c r="E20" s="3">
        <f>(D6+D4-2*D5)/2</f>
        <v>9.997989577343061E-3</v>
      </c>
    </row>
    <row r="21" spans="3:5" x14ac:dyDescent="0.35">
      <c r="C21" s="2" t="s">
        <v>9</v>
      </c>
      <c r="D21" s="3">
        <f>(D10+D14-2*D12)/2</f>
        <v>2.1872350699723458E-2</v>
      </c>
      <c r="E21" s="3">
        <f>(D7+D3-2*D5)/2</f>
        <v>3.9992865715409734E-2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U23"/>
  <sheetViews>
    <sheetView zoomScale="200" zoomScaleNormal="200" workbookViewId="0">
      <selection activeCell="F1" sqref="F1"/>
    </sheetView>
  </sheetViews>
  <sheetFormatPr baseColWidth="10" defaultRowHeight="14.5" x14ac:dyDescent="0.35"/>
  <cols>
    <col min="2" max="2" width="5.1796875" bestFit="1" customWidth="1"/>
    <col min="3" max="3" width="7.1796875" bestFit="1" customWidth="1"/>
    <col min="4" max="4" width="8.7265625" bestFit="1" customWidth="1"/>
    <col min="5" max="5" width="10.54296875" bestFit="1" customWidth="1"/>
    <col min="6" max="6" width="7.7265625" bestFit="1" customWidth="1"/>
    <col min="7" max="7" width="10.453125" bestFit="1" customWidth="1"/>
    <col min="8" max="8" width="10.54296875" bestFit="1" customWidth="1"/>
    <col min="12" max="12" width="8.7265625" customWidth="1"/>
    <col min="20" max="20" width="6.54296875" bestFit="1" customWidth="1"/>
  </cols>
  <sheetData>
    <row r="1" spans="1:21" x14ac:dyDescent="0.35">
      <c r="B1">
        <f>(D1-C1)/20</f>
        <v>6.0000000000000012E-2</v>
      </c>
      <c r="C1">
        <v>0.9</v>
      </c>
      <c r="D1">
        <v>2.1</v>
      </c>
      <c r="E1" s="22"/>
      <c r="F1" s="22"/>
      <c r="G1" s="22"/>
      <c r="K1" s="3"/>
    </row>
    <row r="2" spans="1:21" x14ac:dyDescent="0.35">
      <c r="B2" s="2" t="s">
        <v>18</v>
      </c>
      <c r="C2" s="2" t="s">
        <v>20</v>
      </c>
      <c r="D2" s="2" t="s">
        <v>26</v>
      </c>
      <c r="E2" s="2" t="s">
        <v>34</v>
      </c>
      <c r="F2" s="2" t="s">
        <v>33</v>
      </c>
      <c r="G2" s="2" t="s">
        <v>32</v>
      </c>
      <c r="H2" s="2" t="s">
        <v>34</v>
      </c>
    </row>
    <row r="3" spans="1:21" x14ac:dyDescent="0.35">
      <c r="A3">
        <v>1</v>
      </c>
      <c r="B3">
        <f>C1</f>
        <v>0.9</v>
      </c>
      <c r="C3" s="5">
        <f t="shared" ref="C3:C23" si="0">Spline(B3,Ks,Vols,coeffa,coeffb)</f>
        <v>0.2366778379682884</v>
      </c>
      <c r="D3" s="5">
        <f t="shared" ref="D3:D23" si="1">Spline(B3+0.0001,Ks,Vols,coeffa,coeffb)</f>
        <v>0.23665209033476717</v>
      </c>
      <c r="E3" s="21">
        <f>(BS('Smile FX'!$C$2,B3,'Smile FX'!$I$6,C3,1)-BS('Smile FX'!$C$2,B3+0.0001,'Smile FX'!$I$6,D3,1))*'Smile FX'!$I$14*10000</f>
        <v>0.97489168190270648</v>
      </c>
      <c r="F3" s="5">
        <f>BSDigit('Smile FX'!$C$2,B3,'Smile FX'!$I$6,C3,1)*'Smile FX'!$I$14</f>
        <v>0.95355881621581329</v>
      </c>
      <c r="G3" s="5">
        <f>(BSVega('Smile FX'!$C$2,B3,'Smile FX'!$I$6,C3,1))*'Smile FX'!$I$13</f>
        <v>8.279406588939639E-2</v>
      </c>
      <c r="H3" s="21">
        <f>F3-G3*(D3-C3)*10000</f>
        <v>0.97487632887833919</v>
      </c>
      <c r="I3" s="5"/>
      <c r="J3" s="5"/>
      <c r="K3" s="5"/>
      <c r="L3" s="5"/>
      <c r="M3" s="5"/>
      <c r="N3" s="5"/>
      <c r="O3" s="5"/>
      <c r="P3" s="5"/>
      <c r="Q3" s="5"/>
      <c r="R3" s="5"/>
      <c r="S3" s="9"/>
      <c r="T3" s="3"/>
      <c r="U3" s="3"/>
    </row>
    <row r="4" spans="1:21" x14ac:dyDescent="0.35">
      <c r="A4">
        <f>A3+1</f>
        <v>2</v>
      </c>
      <c r="B4">
        <f>B3+$B$1</f>
        <v>0.96000000000000008</v>
      </c>
      <c r="C4" s="5">
        <f t="shared" si="0"/>
        <v>0.22122925785558487</v>
      </c>
      <c r="D4" s="5">
        <f t="shared" si="1"/>
        <v>0.22120351022206369</v>
      </c>
      <c r="E4" s="21">
        <f>(BS('Smile FX'!$C$2,B4,'Smile FX'!$I$6,C4,1)-BS('Smile FX'!$C$2,B4+0.0001,'Smile FX'!$I$6,D4,1))*'Smile FX'!$I$14*10000</f>
        <v>0.9664997909345856</v>
      </c>
      <c r="F4" s="5">
        <f>BSDigit('Smile FX'!$C$2,B4,'Smile FX'!$I$6,C4,1)*'Smile FX'!$I$14</f>
        <v>0.93713130699963343</v>
      </c>
      <c r="G4" s="5">
        <f>(BSVega('Smile FX'!$C$2,B4,'Smile FX'!$I$6,C4,1))*'Smile FX'!$I$13</f>
        <v>0.11398042343746806</v>
      </c>
      <c r="H4" s="21">
        <f t="shared" ref="H4:H23" si="2">F4-G4*(D4-C4)*10000</f>
        <v>0.9664785687121934</v>
      </c>
      <c r="I4" s="5"/>
      <c r="J4" s="5"/>
      <c r="K4" s="5"/>
      <c r="L4" s="5"/>
      <c r="M4" s="5"/>
      <c r="N4" s="5"/>
      <c r="O4" s="5"/>
      <c r="P4" s="5"/>
      <c r="Q4" s="5"/>
      <c r="R4" s="5"/>
      <c r="S4" s="9"/>
      <c r="T4" s="3"/>
      <c r="U4" s="3"/>
    </row>
    <row r="5" spans="1:21" x14ac:dyDescent="0.35">
      <c r="A5">
        <f t="shared" ref="A5:A23" si="3">A4+1</f>
        <v>3</v>
      </c>
      <c r="B5">
        <f t="shared" ref="B5:B23" si="4">B4+$B$1</f>
        <v>1.02</v>
      </c>
      <c r="C5" s="5">
        <f t="shared" si="0"/>
        <v>0.20578067774288136</v>
      </c>
      <c r="D5" s="5">
        <f t="shared" si="1"/>
        <v>0.20575493010936019</v>
      </c>
      <c r="E5" s="21">
        <f>(BS('Smile FX'!$C$2,B5,'Smile FX'!$I$6,C5,1)-BS('Smile FX'!$C$2,B5+0.0001,'Smile FX'!$I$6,D5,1))*'Smile FX'!$I$14*10000</f>
        <v>0.95496414809650598</v>
      </c>
      <c r="F5" s="5">
        <f>BSDigit('Smile FX'!$C$2,B5,'Smile FX'!$I$6,C5,1)*'Smile FX'!$I$14</f>
        <v>0.91535473450379123</v>
      </c>
      <c r="G5" s="5">
        <f>(BSVega('Smile FX'!$C$2,B5,'Smile FX'!$I$6,C5,1))*'Smile FX'!$I$13</f>
        <v>0.1537271381888653</v>
      </c>
      <c r="H5" s="21">
        <f t="shared" si="2"/>
        <v>0.95493583466724685</v>
      </c>
      <c r="I5" s="5"/>
      <c r="J5" s="5"/>
      <c r="K5" s="5"/>
      <c r="L5" s="5"/>
      <c r="M5" s="5"/>
      <c r="N5" s="5"/>
      <c r="O5" s="5"/>
      <c r="P5" s="5"/>
      <c r="Q5" s="5"/>
      <c r="R5" s="5"/>
      <c r="S5" s="9"/>
      <c r="T5" s="3"/>
      <c r="U5" s="3"/>
    </row>
    <row r="6" spans="1:21" x14ac:dyDescent="0.35">
      <c r="A6">
        <f t="shared" si="3"/>
        <v>4</v>
      </c>
      <c r="B6">
        <f t="shared" si="4"/>
        <v>1.08</v>
      </c>
      <c r="C6" s="5">
        <f t="shared" si="0"/>
        <v>0.19033209763017789</v>
      </c>
      <c r="D6" s="5">
        <f t="shared" si="1"/>
        <v>0.19030634999665669</v>
      </c>
      <c r="E6" s="21">
        <f>(BS('Smile FX'!$C$2,B6,'Smile FX'!$I$6,C6,1)-BS('Smile FX'!$C$2,B6+0.0001,'Smile FX'!$I$6,D6,1))*'Smile FX'!$I$14*10000</f>
        <v>0.93879100707823127</v>
      </c>
      <c r="F6" s="5">
        <f>BSDigit('Smile FX'!$C$2,B6,'Smile FX'!$I$6,C6,1)*'Smile FX'!$I$14</f>
        <v>0.88633613720996429</v>
      </c>
      <c r="G6" s="5">
        <f>(BSVega('Smile FX'!$C$2,B6,'Smile FX'!$I$6,C6,1))*'Smile FX'!$I$13</f>
        <v>0.20358536160258905</v>
      </c>
      <c r="H6" s="21">
        <f t="shared" si="2"/>
        <v>0.93875455001820951</v>
      </c>
      <c r="I6" s="5"/>
      <c r="J6" s="5"/>
      <c r="K6" s="5"/>
      <c r="L6" s="5"/>
      <c r="M6" s="5"/>
      <c r="N6" s="5"/>
      <c r="O6" s="5"/>
      <c r="P6" s="5"/>
      <c r="Q6" s="5"/>
      <c r="R6" s="5"/>
      <c r="S6" s="9"/>
      <c r="T6" s="3"/>
      <c r="U6" s="3"/>
    </row>
    <row r="7" spans="1:21" x14ac:dyDescent="0.35">
      <c r="A7">
        <f t="shared" si="3"/>
        <v>5</v>
      </c>
      <c r="B7">
        <f t="shared" si="4"/>
        <v>1.1400000000000001</v>
      </c>
      <c r="C7" s="5">
        <f t="shared" si="0"/>
        <v>0.17455438272063489</v>
      </c>
      <c r="D7" s="5">
        <f t="shared" si="1"/>
        <v>0.17452703430205088</v>
      </c>
      <c r="E7" s="21">
        <f>(BS('Smile FX'!$C$2,B7,'Smile FX'!$I$6,C7,1)-BS('Smile FX'!$C$2,B7+0.0001,'Smile FX'!$I$6,D7,1))*'Smile FX'!$I$14*10000</f>
        <v>0.9202088119452887</v>
      </c>
      <c r="F7" s="5">
        <f>BSDigit('Smile FX'!$C$2,B7,'Smile FX'!$I$6,C7,1)*'Smile FX'!$I$14</f>
        <v>0.84789977185175303</v>
      </c>
      <c r="G7" s="5">
        <f>(BSVega('Smile FX'!$C$2,B7,'Smile FX'!$I$6,C7,1))*'Smile FX'!$I$13</f>
        <v>0.26421305660389183</v>
      </c>
      <c r="H7" s="21">
        <f t="shared" si="2"/>
        <v>0.92015786452539572</v>
      </c>
      <c r="I7" s="5"/>
      <c r="J7" s="5"/>
      <c r="K7" s="5"/>
      <c r="L7" s="5"/>
      <c r="M7" s="5"/>
      <c r="N7" s="5"/>
      <c r="O7" s="5"/>
      <c r="P7" s="5"/>
      <c r="Q7" s="5"/>
      <c r="R7" s="5"/>
      <c r="S7" s="9"/>
      <c r="T7" s="3"/>
      <c r="U7" s="3"/>
    </row>
    <row r="8" spans="1:21" x14ac:dyDescent="0.35">
      <c r="A8">
        <f t="shared" si="3"/>
        <v>6</v>
      </c>
      <c r="B8">
        <f t="shared" si="4"/>
        <v>1.2000000000000002</v>
      </c>
      <c r="C8" s="5">
        <f t="shared" si="0"/>
        <v>0.15844551405181162</v>
      </c>
      <c r="D8" s="5">
        <f t="shared" si="1"/>
        <v>0.15841941949681321</v>
      </c>
      <c r="E8" s="21">
        <f>(BS('Smile FX'!$C$2,B8,'Smile FX'!$I$6,C8,1)-BS('Smile FX'!$C$2,B8+0.0001,'Smile FX'!$I$6,D8,1))*'Smile FX'!$I$14*10000</f>
        <v>0.88404522308576061</v>
      </c>
      <c r="F8" s="5">
        <f>BSDigit('Smile FX'!$C$2,B8,'Smile FX'!$I$6,C8,1)*'Smile FX'!$I$14</f>
        <v>0.79634501489490384</v>
      </c>
      <c r="G8" s="5">
        <f>(BSVega('Smile FX'!$C$2,B8,'Smile FX'!$I$6,C8,1))*'Smile FX'!$I$13</f>
        <v>0.33587960225442126</v>
      </c>
      <c r="H8" s="21">
        <f t="shared" si="2"/>
        <v>0.88399130243363333</v>
      </c>
      <c r="I8" s="5"/>
      <c r="J8" s="5"/>
      <c r="K8" s="5"/>
      <c r="L8" s="5"/>
      <c r="M8" s="5"/>
      <c r="N8" s="5"/>
      <c r="O8" s="5"/>
      <c r="P8" s="5"/>
      <c r="Q8" s="5"/>
      <c r="R8" s="5"/>
      <c r="S8" s="9"/>
      <c r="T8" s="3"/>
      <c r="U8" s="3"/>
    </row>
    <row r="9" spans="1:21" x14ac:dyDescent="0.35">
      <c r="A9">
        <f t="shared" si="3"/>
        <v>7</v>
      </c>
      <c r="B9">
        <f t="shared" si="4"/>
        <v>1.2600000000000002</v>
      </c>
      <c r="C9" s="5">
        <f t="shared" si="0"/>
        <v>0.14354030926534311</v>
      </c>
      <c r="D9" s="5">
        <f t="shared" si="1"/>
        <v>0.14351697557136264</v>
      </c>
      <c r="E9" s="21">
        <f>(BS('Smile FX'!$C$2,B9,'Smile FX'!$I$6,C9,1)-BS('Smile FX'!$C$2,B9+0.0001,'Smile FX'!$I$6,D9,1))*'Smile FX'!$I$14*10000</f>
        <v>0.8211446365952858</v>
      </c>
      <c r="F9" s="5">
        <f>BSDigit('Smile FX'!$C$2,B9,'Smile FX'!$I$6,C9,1)*'Smile FX'!$I$14</f>
        <v>0.72351330271314496</v>
      </c>
      <c r="G9" s="5">
        <f>(BSVega('Smile FX'!$C$2,B9,'Smile FX'!$I$6,C9,1))*'Smile FX'!$I$13</f>
        <v>0.41823190903412827</v>
      </c>
      <c r="H9" s="21">
        <f t="shared" si="2"/>
        <v>0.821102256495849</v>
      </c>
      <c r="I9" s="5"/>
      <c r="J9" s="5"/>
      <c r="K9" s="5"/>
      <c r="L9" s="5"/>
      <c r="M9" s="5"/>
      <c r="N9" s="5"/>
      <c r="O9" s="5"/>
      <c r="P9" s="5"/>
      <c r="Q9" s="5"/>
      <c r="R9" s="5"/>
      <c r="S9" s="9"/>
      <c r="T9" s="3"/>
      <c r="U9" s="3"/>
    </row>
    <row r="10" spans="1:21" x14ac:dyDescent="0.35">
      <c r="A10">
        <f t="shared" si="3"/>
        <v>8</v>
      </c>
      <c r="B10">
        <f t="shared" si="4"/>
        <v>1.3200000000000003</v>
      </c>
      <c r="C10" s="5">
        <f t="shared" si="0"/>
        <v>0.13080134476217989</v>
      </c>
      <c r="D10" s="5">
        <f t="shared" si="1"/>
        <v>0.13078267321477405</v>
      </c>
      <c r="E10" s="21">
        <f>(BS('Smile FX'!$C$2,B10,'Smile FX'!$I$6,C10,1)-BS('Smile FX'!$C$2,B10+0.0001,'Smile FX'!$I$6,D10,1))*'Smile FX'!$I$14*10000</f>
        <v>0.7152796954088172</v>
      </c>
      <c r="F10" s="5">
        <f>BSDigit('Smile FX'!$C$2,B10,'Smile FX'!$I$6,C10,1)*'Smile FX'!$I$14</f>
        <v>0.62210817579711575</v>
      </c>
      <c r="G10" s="5">
        <f>(BSVega('Smile FX'!$C$2,B10,'Smile FX'!$I$6,C10,1))*'Smile FX'!$I$13</f>
        <v>0.49896618868924564</v>
      </c>
      <c r="H10" s="21">
        <f t="shared" si="2"/>
        <v>0.71527288425734514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9"/>
      <c r="T10" s="3"/>
      <c r="U10" s="3"/>
    </row>
    <row r="11" spans="1:21" x14ac:dyDescent="0.35">
      <c r="A11">
        <f t="shared" si="3"/>
        <v>9</v>
      </c>
      <c r="B11">
        <f t="shared" si="4"/>
        <v>1.3800000000000003</v>
      </c>
      <c r="C11" s="5">
        <f t="shared" si="0"/>
        <v>0.1217131638438973</v>
      </c>
      <c r="D11" s="5">
        <f t="shared" si="1"/>
        <v>0.12170204341317602</v>
      </c>
      <c r="E11" s="21">
        <f>(BS('Smile FX'!$C$2,B11,'Smile FX'!$I$6,C11,1)-BS('Smile FX'!$C$2,B11+0.0001,'Smile FX'!$I$6,D11,1))*'Smile FX'!$I$14*10000</f>
        <v>0.55295349123385107</v>
      </c>
      <c r="F11" s="5">
        <f>BSDigit('Smile FX'!$C$2,B11,'Smile FX'!$I$6,C11,1)*'Smile FX'!$I$14</f>
        <v>0.49203704680149285</v>
      </c>
      <c r="G11" s="5">
        <f>(BSVega('Smile FX'!$C$2,B11,'Smile FX'!$I$6,C11,1))*'Smile FX'!$I$13</f>
        <v>0.54827014355683834</v>
      </c>
      <c r="H11" s="21">
        <f t="shared" si="2"/>
        <v>0.5530070482812014</v>
      </c>
      <c r="I11" s="5"/>
      <c r="J11" s="5"/>
      <c r="K11" s="5"/>
      <c r="L11" s="5"/>
      <c r="M11" s="5"/>
      <c r="N11" s="5"/>
      <c r="O11" s="5"/>
      <c r="P11" s="5"/>
      <c r="Q11" s="5"/>
      <c r="R11" s="5"/>
      <c r="S11" s="9"/>
      <c r="T11" s="3"/>
      <c r="U11" s="3"/>
    </row>
    <row r="12" spans="1:21" x14ac:dyDescent="0.35">
      <c r="A12">
        <f t="shared" si="3"/>
        <v>10</v>
      </c>
      <c r="B12">
        <f t="shared" si="4"/>
        <v>1.4400000000000004</v>
      </c>
      <c r="C12" s="5">
        <f t="shared" si="0"/>
        <v>0.11785961236251641</v>
      </c>
      <c r="D12" s="5">
        <f t="shared" si="1"/>
        <v>0.11785773682194646</v>
      </c>
      <c r="E12" s="21">
        <f>(BS('Smile FX'!$C$2,B12,'Smile FX'!$I$6,C12,1)-BS('Smile FX'!$C$2,B12+0.0001,'Smile FX'!$I$6,D12,1))*'Smile FX'!$I$14*10000</f>
        <v>0.36305656709965051</v>
      </c>
      <c r="F12" s="5">
        <f>BSDigit('Smile FX'!$C$2,B12,'Smile FX'!$I$6,C12,1)*'Smile FX'!$I$14</f>
        <v>0.35315059777773483</v>
      </c>
      <c r="G12" s="5">
        <f>(BSVega('Smile FX'!$C$2,B12,'Smile FX'!$I$6,C12,1))*'Smile FX'!$I$13</f>
        <v>0.53353858498247497</v>
      </c>
      <c r="H12" s="21">
        <f t="shared" si="2"/>
        <v>0.36315733039540932</v>
      </c>
      <c r="I12" s="5"/>
      <c r="J12" s="5"/>
      <c r="K12" s="5"/>
      <c r="L12" s="5"/>
      <c r="M12" s="5"/>
      <c r="N12" s="5"/>
      <c r="O12" s="5"/>
      <c r="P12" s="5"/>
      <c r="Q12" s="5"/>
      <c r="R12" s="5"/>
      <c r="S12" s="9"/>
      <c r="T12" s="3"/>
      <c r="U12" s="3"/>
    </row>
    <row r="13" spans="1:21" x14ac:dyDescent="0.35">
      <c r="A13">
        <f t="shared" si="3"/>
        <v>11</v>
      </c>
      <c r="B13">
        <f t="shared" si="4"/>
        <v>1.5000000000000004</v>
      </c>
      <c r="C13" s="5">
        <f t="shared" si="0"/>
        <v>0.11906370095136366</v>
      </c>
      <c r="D13" s="5">
        <f t="shared" si="1"/>
        <v>0.11906926691820539</v>
      </c>
      <c r="E13" s="21">
        <f>(BS('Smile FX'!$C$2,B13,'Smile FX'!$I$6,C13,1)-BS('Smile FX'!$C$2,B13+0.0001,'Smile FX'!$I$6,D13,1))*'Smile FX'!$I$14*10000</f>
        <v>0.21101587530183147</v>
      </c>
      <c r="F13" s="5">
        <f>BSDigit('Smile FX'!$C$2,B13,'Smile FX'!$I$6,C13,1)*'Smile FX'!$I$14</f>
        <v>0.23682508397417235</v>
      </c>
      <c r="G13" s="5">
        <f>(BSVega('Smile FX'!$C$2,B13,'Smile FX'!$I$6,C13,1))*'Smile FX'!$I$13</f>
        <v>0.46183425498140468</v>
      </c>
      <c r="H13" s="21">
        <f t="shared" si="2"/>
        <v>0.21111954247815326</v>
      </c>
      <c r="I13" s="5"/>
      <c r="J13" s="5"/>
      <c r="K13" s="5"/>
      <c r="L13" s="5"/>
      <c r="M13" s="5"/>
      <c r="N13" s="5"/>
      <c r="O13" s="5"/>
      <c r="P13" s="5"/>
      <c r="Q13" s="5"/>
      <c r="R13" s="5"/>
      <c r="S13" s="9"/>
      <c r="T13" s="3"/>
      <c r="U13" s="3"/>
    </row>
    <row r="14" spans="1:21" x14ac:dyDescent="0.35">
      <c r="A14">
        <f t="shared" si="3"/>
        <v>12</v>
      </c>
      <c r="B14">
        <f t="shared" si="4"/>
        <v>1.5600000000000005</v>
      </c>
      <c r="C14" s="5">
        <f t="shared" si="0"/>
        <v>0.12412117313941089</v>
      </c>
      <c r="D14" s="5">
        <f t="shared" si="1"/>
        <v>0.12413211087550895</v>
      </c>
      <c r="E14" s="21">
        <f>(BS('Smile FX'!$C$2,B14,'Smile FX'!$I$6,C14,1)-BS('Smile FX'!$C$2,B14+0.0001,'Smile FX'!$I$6,D14,1))*'Smile FX'!$I$14*10000</f>
        <v>0.11575808511803277</v>
      </c>
      <c r="F14" s="5">
        <f>BSDigit('Smile FX'!$C$2,B14,'Smile FX'!$I$6,C14,1)*'Smile FX'!$I$14</f>
        <v>0.15671583605874262</v>
      </c>
      <c r="G14" s="5">
        <f>(BSVega('Smile FX'!$C$2,B14,'Smile FX'!$I$6,C14,1))*'Smile FX'!$I$13</f>
        <v>0.37367869526932923</v>
      </c>
      <c r="H14" s="21">
        <f t="shared" si="2"/>
        <v>0.11584384651550944</v>
      </c>
      <c r="I14" s="5"/>
      <c r="J14" s="5"/>
      <c r="K14" s="5"/>
      <c r="L14" s="5"/>
      <c r="M14" s="5"/>
      <c r="N14" s="5"/>
      <c r="O14" s="5"/>
      <c r="P14" s="5"/>
      <c r="Q14" s="5"/>
      <c r="R14" s="5"/>
      <c r="S14" s="9"/>
      <c r="T14" s="3"/>
      <c r="U14" s="3"/>
    </row>
    <row r="15" spans="1:21" x14ac:dyDescent="0.35">
      <c r="A15">
        <f t="shared" si="3"/>
        <v>13</v>
      </c>
      <c r="B15">
        <f t="shared" si="4"/>
        <v>1.6200000000000006</v>
      </c>
      <c r="C15" s="5">
        <f t="shared" si="0"/>
        <v>0.13174285108731984</v>
      </c>
      <c r="D15" s="5">
        <f t="shared" si="1"/>
        <v>0.13175695576100188</v>
      </c>
      <c r="E15" s="21">
        <f>(BS('Smile FX'!$C$2,B15,'Smile FX'!$I$6,C15,1)-BS('Smile FX'!$C$2,B15+0.0001,'Smile FX'!$I$6,D15,1))*'Smile FX'!$I$14*10000</f>
        <v>6.4779171910270314E-2</v>
      </c>
      <c r="F15" s="5">
        <f>BSDigit('Smile FX'!$C$2,B15,'Smile FX'!$I$6,C15,1)*'Smile FX'!$I$14</f>
        <v>0.10684271719329831</v>
      </c>
      <c r="G15" s="5">
        <f>(BSVega('Smile FX'!$C$2,B15,'Smile FX'!$I$6,C15,1))*'Smile FX'!$I$13</f>
        <v>0.29775374309632197</v>
      </c>
      <c r="H15" s="21">
        <f t="shared" si="2"/>
        <v>6.4845523353497622E-2</v>
      </c>
      <c r="I15" s="5"/>
      <c r="J15" s="5"/>
      <c r="K15" s="5"/>
      <c r="L15" s="5"/>
      <c r="M15" s="5"/>
      <c r="N15" s="5"/>
      <c r="O15" s="5"/>
      <c r="P15" s="5"/>
      <c r="Q15" s="5"/>
      <c r="R15" s="5"/>
      <c r="S15" s="9"/>
      <c r="T15" s="3"/>
      <c r="U15" s="3"/>
    </row>
    <row r="16" spans="1:21" x14ac:dyDescent="0.35">
      <c r="A16">
        <f t="shared" si="3"/>
        <v>14</v>
      </c>
      <c r="B16">
        <f t="shared" si="4"/>
        <v>1.6800000000000006</v>
      </c>
      <c r="C16" s="5">
        <f t="shared" si="0"/>
        <v>0.1404962243371958</v>
      </c>
      <c r="D16" s="5">
        <f t="shared" si="1"/>
        <v>0.14050863005153377</v>
      </c>
      <c r="E16" s="21">
        <f>(BS('Smile FX'!$C$2,B16,'Smile FX'!$I$6,C16,1)-BS('Smile FX'!$C$2,B16+0.0001,'Smile FX'!$I$6,D16,1))*'Smile FX'!$I$14*10000</f>
        <v>4.6121802962279045E-2</v>
      </c>
      <c r="F16" s="5">
        <f>BSDigit('Smile FX'!$C$2,B16,'Smile FX'!$I$6,C16,1)*'Smile FX'!$I$14</f>
        <v>7.588392358711292E-2</v>
      </c>
      <c r="G16" s="5">
        <f>(BSVega('Smile FX'!$C$2,B16,'Smile FX'!$I$6,C16,1))*'Smile FX'!$I$13</f>
        <v>0.23953481708966121</v>
      </c>
      <c r="H16" s="21">
        <f t="shared" si="2"/>
        <v>4.616791843898875E-2</v>
      </c>
      <c r="I16" s="5"/>
      <c r="J16" s="5"/>
      <c r="K16" s="5"/>
      <c r="L16" s="5"/>
      <c r="M16" s="5"/>
      <c r="N16" s="5"/>
      <c r="O16" s="5"/>
      <c r="P16" s="5"/>
      <c r="Q16" s="5"/>
      <c r="R16" s="5"/>
      <c r="S16" s="9"/>
      <c r="T16" s="3"/>
      <c r="U16" s="3"/>
    </row>
    <row r="17" spans="1:21" x14ac:dyDescent="0.35">
      <c r="A17">
        <f t="shared" si="3"/>
        <v>15</v>
      </c>
      <c r="B17">
        <f t="shared" si="4"/>
        <v>1.7400000000000007</v>
      </c>
      <c r="C17" s="5">
        <f t="shared" si="0"/>
        <v>0.14793965293996394</v>
      </c>
      <c r="D17" s="5">
        <f t="shared" si="1"/>
        <v>0.14795205865430189</v>
      </c>
      <c r="E17" s="21">
        <f>(BS('Smile FX'!$C$2,B17,'Smile FX'!$I$6,C17,1)-BS('Smile FX'!$C$2,B17+0.0001,'Smile FX'!$I$6,D17,1))*'Smile FX'!$I$14*10000</f>
        <v>3.0454696443361826E-2</v>
      </c>
      <c r="F17" s="5">
        <f>BSDigit('Smile FX'!$C$2,B17,'Smile FX'!$I$6,C17,1)*'Smile FX'!$I$14</f>
        <v>5.4178667896509325E-2</v>
      </c>
      <c r="G17" s="5">
        <f>(BSVega('Smile FX'!$C$2,B17,'Smile FX'!$I$6,C17,1))*'Smile FX'!$I$13</f>
        <v>0.19096059545187685</v>
      </c>
      <c r="H17" s="21">
        <f t="shared" si="2"/>
        <v>3.0488641926714476E-2</v>
      </c>
      <c r="I17" s="5"/>
      <c r="J17" s="5"/>
      <c r="K17" s="5"/>
      <c r="L17" s="5"/>
      <c r="M17" s="5"/>
      <c r="N17" s="5"/>
      <c r="O17" s="5"/>
      <c r="P17" s="5"/>
      <c r="Q17" s="5"/>
      <c r="R17" s="5"/>
      <c r="S17" s="9"/>
      <c r="T17" s="3"/>
      <c r="U17" s="3"/>
    </row>
    <row r="18" spans="1:21" x14ac:dyDescent="0.35">
      <c r="A18">
        <f t="shared" si="3"/>
        <v>16</v>
      </c>
      <c r="B18">
        <f t="shared" si="4"/>
        <v>1.8000000000000007</v>
      </c>
      <c r="C18" s="5">
        <f t="shared" si="0"/>
        <v>0.15538308154273212</v>
      </c>
      <c r="D18" s="5">
        <f t="shared" si="1"/>
        <v>0.15539548725707009</v>
      </c>
      <c r="E18" s="21">
        <f>(BS('Smile FX'!$C$2,B18,'Smile FX'!$I$6,C18,1)-BS('Smile FX'!$C$2,B18+0.0001,'Smile FX'!$I$6,D18,1))*'Smile FX'!$I$14*10000</f>
        <v>2.0581069018786615E-2</v>
      </c>
      <c r="F18" s="5">
        <f>BSDigit('Smile FX'!$C$2,B18,'Smile FX'!$I$6,C18,1)*'Smile FX'!$I$14</f>
        <v>3.9703808194069483E-2</v>
      </c>
      <c r="G18" s="5">
        <f>(BSVega('Smile FX'!$C$2,B18,'Smile FX'!$I$6,C18,1))*'Smile FX'!$I$13</f>
        <v>0.15393802248286387</v>
      </c>
      <c r="H18" s="21">
        <f t="shared" si="2"/>
        <v>2.0606696867324168E-2</v>
      </c>
      <c r="I18" s="5"/>
      <c r="J18" s="5"/>
      <c r="K18" s="5"/>
      <c r="L18" s="5"/>
      <c r="M18" s="5"/>
      <c r="N18" s="5"/>
      <c r="O18" s="5"/>
      <c r="P18" s="5"/>
      <c r="Q18" s="5"/>
      <c r="R18" s="5"/>
      <c r="S18" s="9"/>
      <c r="T18" s="3"/>
      <c r="U18" s="3"/>
    </row>
    <row r="19" spans="1:21" x14ac:dyDescent="0.35">
      <c r="A19">
        <f t="shared" si="3"/>
        <v>17</v>
      </c>
      <c r="B19">
        <f t="shared" si="4"/>
        <v>1.8600000000000008</v>
      </c>
      <c r="C19" s="5">
        <f t="shared" si="0"/>
        <v>0.16282651014550031</v>
      </c>
      <c r="D19" s="5">
        <f t="shared" si="1"/>
        <v>0.16283891585983823</v>
      </c>
      <c r="E19" s="21">
        <f>(BS('Smile FX'!$C$2,B19,'Smile FX'!$I$6,C19,1)-BS('Smile FX'!$C$2,B19+0.0001,'Smile FX'!$I$6,D19,1))*'Smile FX'!$I$14*10000</f>
        <v>1.4234208287633842E-2</v>
      </c>
      <c r="F19" s="5">
        <f>BSDigit('Smile FX'!$C$2,B19,'Smile FX'!$I$6,C19,1)*'Smile FX'!$I$14</f>
        <v>2.9877820049470535E-2</v>
      </c>
      <c r="G19" s="5">
        <f>(BSVega('Smile FX'!$C$2,B19,'Smile FX'!$I$6,C19,1))*'Smile FX'!$I$13</f>
        <v>0.12593986116810424</v>
      </c>
      <c r="H19" s="21">
        <f t="shared" si="2"/>
        <v>1.4254080635388449E-2</v>
      </c>
      <c r="I19" s="5"/>
      <c r="J19" s="5"/>
      <c r="K19" s="5"/>
      <c r="L19" s="5"/>
      <c r="M19" s="5"/>
      <c r="N19" s="5"/>
      <c r="O19" s="5"/>
      <c r="P19" s="5"/>
      <c r="Q19" s="5"/>
      <c r="R19" s="5"/>
      <c r="S19" s="9"/>
      <c r="T19" s="3"/>
      <c r="U19" s="3"/>
    </row>
    <row r="20" spans="1:21" x14ac:dyDescent="0.35">
      <c r="A20">
        <f t="shared" si="3"/>
        <v>18</v>
      </c>
      <c r="B20">
        <f t="shared" si="4"/>
        <v>1.9200000000000008</v>
      </c>
      <c r="C20" s="5">
        <f t="shared" si="0"/>
        <v>0.17026993874826837</v>
      </c>
      <c r="D20" s="5">
        <f t="shared" si="1"/>
        <v>0.17028234446260634</v>
      </c>
      <c r="E20" s="21">
        <f>(BS('Smile FX'!$C$2,B20,'Smile FX'!$I$6,C20,1)-BS('Smile FX'!$C$2,B20+0.0001,'Smile FX'!$I$6,D20,1))*'Smile FX'!$I$14*10000</f>
        <v>1.006315767931731E-2</v>
      </c>
      <c r="F20" s="5">
        <f>BSDigit('Smile FX'!$C$2,B20,'Smile FX'!$I$6,C20,1)*'Smile FX'!$I$14</f>
        <v>2.3073922867346761E-2</v>
      </c>
      <c r="G20" s="5">
        <f>(BSVega('Smile FX'!$C$2,B20,'Smile FX'!$I$6,C20,1))*'Smile FX'!$I$13</f>
        <v>0.10474965120291167</v>
      </c>
      <c r="H20" s="21">
        <f t="shared" si="2"/>
        <v>1.0078980369092772E-2</v>
      </c>
      <c r="I20" s="5"/>
      <c r="J20" s="5"/>
      <c r="K20" s="5"/>
      <c r="L20" s="5"/>
      <c r="M20" s="5"/>
      <c r="N20" s="5"/>
      <c r="O20" s="5"/>
      <c r="P20" s="5"/>
      <c r="Q20" s="5"/>
      <c r="R20" s="5"/>
      <c r="S20" s="9"/>
      <c r="T20" s="3"/>
      <c r="U20" s="3"/>
    </row>
    <row r="21" spans="1:21" x14ac:dyDescent="0.35">
      <c r="A21">
        <f t="shared" si="3"/>
        <v>19</v>
      </c>
      <c r="B21">
        <f t="shared" si="4"/>
        <v>1.9800000000000009</v>
      </c>
      <c r="C21" s="5">
        <f t="shared" si="0"/>
        <v>0.1777133673510366</v>
      </c>
      <c r="D21" s="5">
        <f t="shared" si="1"/>
        <v>0.17772577306537451</v>
      </c>
      <c r="E21" s="21">
        <f>(BS('Smile FX'!$C$2,B21,'Smile FX'!$I$6,C21,1)-BS('Smile FX'!$C$2,B21+0.0001,'Smile FX'!$I$6,D21,1))*'Smile FX'!$I$14*10000</f>
        <v>7.2581628586619422E-3</v>
      </c>
      <c r="F21" s="5">
        <f>BSDigit('Smile FX'!$C$2,B21,'Smile FX'!$I$6,C21,1)*'Smile FX'!$I$14</f>
        <v>1.8265432741975902E-2</v>
      </c>
      <c r="G21" s="5">
        <f>(BSVega('Smile FX'!$C$2,B21,'Smile FX'!$I$6,C21,1))*'Smile FX'!$I$13</f>
        <v>8.8623266273115481E-2</v>
      </c>
      <c r="H21" s="21">
        <f t="shared" si="2"/>
        <v>7.2710834912031921E-3</v>
      </c>
      <c r="I21" s="5"/>
      <c r="J21" s="5"/>
      <c r="K21" s="5"/>
      <c r="L21" s="5"/>
      <c r="M21" s="5"/>
      <c r="N21" s="5"/>
      <c r="O21" s="5"/>
      <c r="P21" s="5"/>
      <c r="Q21" s="5"/>
      <c r="R21" s="5"/>
      <c r="S21" s="9"/>
      <c r="T21" s="3"/>
      <c r="U21" s="3"/>
    </row>
    <row r="22" spans="1:21" x14ac:dyDescent="0.35">
      <c r="A22">
        <f t="shared" si="3"/>
        <v>20</v>
      </c>
      <c r="B22">
        <f t="shared" si="4"/>
        <v>2.0400000000000009</v>
      </c>
      <c r="C22" s="5">
        <f t="shared" si="0"/>
        <v>0.18515679595380474</v>
      </c>
      <c r="D22" s="5">
        <f t="shared" si="1"/>
        <v>0.18516920166814271</v>
      </c>
      <c r="E22" s="21">
        <f>(BS('Smile FX'!$C$2,B22,'Smile FX'!$I$6,C22,1)-BS('Smile FX'!$C$2,B22+0.0001,'Smile FX'!$I$6,D22,1))*'Smile FX'!$I$14*10000</f>
        <v>5.3277297106594226E-3</v>
      </c>
      <c r="F22" s="5">
        <f>BSDigit('Smile FX'!$C$2,B22,'Smile FX'!$I$6,C22,1)*'Smile FX'!$I$14</f>
        <v>1.4798296042662423E-2</v>
      </c>
      <c r="G22" s="5">
        <f>(BSVega('Smile FX'!$C$2,B22,'Smile FX'!$I$6,C22,1))*'Smile FX'!$I$13</f>
        <v>7.6253277597278166E-2</v>
      </c>
      <c r="H22" s="21">
        <f t="shared" si="2"/>
        <v>5.3385322506042301E-3</v>
      </c>
      <c r="I22" s="5"/>
      <c r="J22" s="5"/>
      <c r="K22" s="5"/>
      <c r="L22" s="5"/>
      <c r="M22" s="5"/>
      <c r="N22" s="5"/>
      <c r="O22" s="5"/>
      <c r="P22" s="5"/>
      <c r="Q22" s="5"/>
      <c r="R22" s="5"/>
      <c r="S22" s="9"/>
      <c r="T22" s="3"/>
      <c r="U22" s="3"/>
    </row>
    <row r="23" spans="1:21" x14ac:dyDescent="0.35">
      <c r="A23">
        <f t="shared" si="3"/>
        <v>21</v>
      </c>
      <c r="B23">
        <f t="shared" si="4"/>
        <v>2.100000000000001</v>
      </c>
      <c r="C23" s="5">
        <f t="shared" si="0"/>
        <v>0.19260022455657289</v>
      </c>
      <c r="D23" s="5">
        <f t="shared" si="1"/>
        <v>0.19261263027091086</v>
      </c>
      <c r="E23" s="21">
        <f>(BS('Smile FX'!$C$2,B23,'Smile FX'!$I$6,C23,1)-BS('Smile FX'!$C$2,B23+0.0001,'Smile FX'!$I$6,D23,1))*'Smile FX'!$I$14*10000</f>
        <v>3.9686168136697881E-3</v>
      </c>
      <c r="F23" s="5">
        <f>BSDigit('Smile FX'!$C$2,B23,'Smile FX'!$I$6,C23,1)*'Smile FX'!$I$14</f>
        <v>1.2250065274490504E-2</v>
      </c>
      <c r="G23" s="5">
        <f>(BSVega('Smile FX'!$C$2,B23,'Smile FX'!$I$6,C23,1))*'Smile FX'!$I$13</f>
        <v>6.6680713757740609E-2</v>
      </c>
      <c r="H23" s="21">
        <f t="shared" si="2"/>
        <v>3.9778464071852267E-3</v>
      </c>
      <c r="I23" s="5"/>
      <c r="J23" s="5"/>
      <c r="K23" s="5"/>
      <c r="L23" s="5"/>
      <c r="M23" s="5"/>
      <c r="N23" s="5"/>
      <c r="O23" s="5"/>
      <c r="P23" s="5"/>
      <c r="Q23" s="5"/>
      <c r="R23" s="5"/>
      <c r="S23" s="9"/>
      <c r="T23" s="3"/>
      <c r="U23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8</vt:i4>
      </vt:variant>
    </vt:vector>
  </HeadingPairs>
  <TitlesOfParts>
    <vt:vector size="15" baseType="lpstr">
      <vt:lpstr>Smile FX</vt:lpstr>
      <vt:lpstr>Spline</vt:lpstr>
      <vt:lpstr>Smile FX Spot + 1pips</vt:lpstr>
      <vt:lpstr>Spline Spot + 1 pips</vt:lpstr>
      <vt:lpstr>Smile View</vt:lpstr>
      <vt:lpstr>Delta</vt:lpstr>
      <vt:lpstr>Digit</vt:lpstr>
      <vt:lpstr>'Spline Spot + 1 pips'!coeffa</vt:lpstr>
      <vt:lpstr>coeffa</vt:lpstr>
      <vt:lpstr>'Spline Spot + 1 pips'!coeffb</vt:lpstr>
      <vt:lpstr>coeffb</vt:lpstr>
      <vt:lpstr>'Spline Spot + 1 pips'!Ks</vt:lpstr>
      <vt:lpstr>Ks</vt:lpstr>
      <vt:lpstr>'Spline Spot + 1 pips'!Vols</vt:lpstr>
      <vt:lpstr>Vols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Guillemot Richard</cp:lastModifiedBy>
  <dcterms:created xsi:type="dcterms:W3CDTF">2014-04-09T10:37:18Z</dcterms:created>
  <dcterms:modified xsi:type="dcterms:W3CDTF">2019-03-14T10:58:36Z</dcterms:modified>
</cp:coreProperties>
</file>