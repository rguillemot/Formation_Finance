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265" yWindow="840" windowWidth="11550" windowHeight="9570"/>
  </bookViews>
  <sheets>
    <sheet name="Smile FX" sheetId="1" r:id="rId1"/>
    <sheet name="Spline" sheetId="2" r:id="rId2"/>
    <sheet name="Smile FX Spot + 1pips" sheetId="4" r:id="rId3"/>
    <sheet name="Spline Spot + 1 pips" sheetId="5" r:id="rId4"/>
    <sheet name="Smile View" sheetId="3" r:id="rId5"/>
    <sheet name="Delta" sheetId="7" r:id="rId6"/>
    <sheet name="Digit" sheetId="8" r:id="rId7"/>
  </sheets>
  <functionGroups/>
  <definedNames>
    <definedName name="coeffa" localSheetId="3">'Spline Spot + 1 pips'!$F$10:$F$13</definedName>
    <definedName name="coeffa">Spline!$F$10:$F$13</definedName>
    <definedName name="coeffb" localSheetId="3">'Spline Spot + 1 pips'!$G$10:$G$13</definedName>
    <definedName name="coeffb">Spline!$G$10:$G$13</definedName>
    <definedName name="Ks" localSheetId="3">'Spline Spot + 1 pips'!$A$3:$A$7</definedName>
    <definedName name="Ks">Spline!$A$3:$A$7</definedName>
    <definedName name="Vols" localSheetId="3">'Spline Spot + 1 pips'!$B$3:$B$7</definedName>
    <definedName name="Vols">Spline!$B$3:$B$7</definedName>
  </definedNames>
  <calcPr calcId="125725"/>
</workbook>
</file>

<file path=xl/calcChain.xml><?xml version="1.0" encoding="utf-8"?>
<calcChain xmlns="http://schemas.openxmlformats.org/spreadsheetml/2006/main">
  <c r="I2" i="4"/>
  <c r="H4" i="8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3"/>
  <c r="B3" i="3"/>
  <c r="B3" i="8"/>
  <c r="I11" i="4"/>
  <c r="I10"/>
  <c r="I9"/>
  <c r="I8"/>
  <c r="I7"/>
  <c r="I6"/>
  <c r="I5"/>
  <c r="I4"/>
  <c r="I3"/>
  <c r="I3" i="7"/>
  <c r="A4" i="8" l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B1"/>
  <c r="B4" s="1"/>
  <c r="I14" i="4"/>
  <c r="I13"/>
  <c r="C8"/>
  <c r="B7" i="5" s="1"/>
  <c r="C7" i="4"/>
  <c r="B6" i="5" s="1"/>
  <c r="C6" i="4"/>
  <c r="B5" i="5" s="1"/>
  <c r="C5" i="4"/>
  <c r="B4" i="5" s="1"/>
  <c r="C4" i="4"/>
  <c r="B3" i="5" s="1"/>
  <c r="B5" i="8" l="1"/>
  <c r="D6" i="5"/>
  <c r="D4"/>
  <c r="D3"/>
  <c r="D5"/>
  <c r="C2" i="4"/>
  <c r="B6" i="8" l="1"/>
  <c r="F8" i="4"/>
  <c r="D8" s="1"/>
  <c r="A7" i="5" s="1"/>
  <c r="F7" i="4"/>
  <c r="D7" s="1"/>
  <c r="A6" i="5" s="1"/>
  <c r="F6" i="4"/>
  <c r="D6" s="1"/>
  <c r="A5" i="5" s="1"/>
  <c r="F5" i="4"/>
  <c r="D5" s="1"/>
  <c r="A4" i="5" s="1"/>
  <c r="F4" i="4"/>
  <c r="D4" s="1"/>
  <c r="A3" i="5" s="1"/>
  <c r="E6" i="4"/>
  <c r="E8"/>
  <c r="E5"/>
  <c r="E4"/>
  <c r="E7"/>
  <c r="C6" i="5" l="1"/>
  <c r="J7" s="1"/>
  <c r="B7" i="8"/>
  <c r="C3" i="5"/>
  <c r="E4" s="1"/>
  <c r="C5"/>
  <c r="C4"/>
  <c r="H7" l="1"/>
  <c r="I6"/>
  <c r="I7"/>
  <c r="H6"/>
  <c r="B8" i="8"/>
  <c r="F4" i="5"/>
  <c r="J3"/>
  <c r="J6"/>
  <c r="F3"/>
  <c r="E3"/>
  <c r="G6"/>
  <c r="H5"/>
  <c r="F5"/>
  <c r="G4"/>
  <c r="G5"/>
  <c r="J5"/>
  <c r="J4"/>
  <c r="E10" l="1" a="1"/>
  <c r="E10" s="1"/>
  <c r="F10" s="1"/>
  <c r="B9" i="8"/>
  <c r="B1" i="3"/>
  <c r="B4" s="1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E14" i="5" l="1"/>
  <c r="G13" s="1"/>
  <c r="E13"/>
  <c r="F13" s="1"/>
  <c r="E12"/>
  <c r="F12" s="1"/>
  <c r="E11"/>
  <c r="G10" s="1"/>
  <c r="B10" i="8"/>
  <c r="G12" i="5"/>
  <c r="G11"/>
  <c r="B5" i="3"/>
  <c r="F11" i="5" l="1"/>
  <c r="B11" i="8"/>
  <c r="B6" i="3"/>
  <c r="B7" s="1"/>
  <c r="C8" i="1"/>
  <c r="C4"/>
  <c r="C7"/>
  <c r="C5"/>
  <c r="C6"/>
  <c r="B5" i="2" s="1"/>
  <c r="I14" i="1"/>
  <c r="I13"/>
  <c r="D4" i="3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3"/>
  <c r="D5" i="7"/>
  <c r="E6" i="1"/>
  <c r="B12" i="8" l="1"/>
  <c r="B8" i="3"/>
  <c r="B7" i="2"/>
  <c r="B3"/>
  <c r="B6"/>
  <c r="B4"/>
  <c r="C2" i="1"/>
  <c r="F6" s="1"/>
  <c r="D6" s="1"/>
  <c r="F5" i="7"/>
  <c r="B5" l="1"/>
  <c r="A5" i="2"/>
  <c r="F5" i="1"/>
  <c r="D5" s="1"/>
  <c r="A4" i="2" s="1"/>
  <c r="F7" i="1"/>
  <c r="D7" s="1"/>
  <c r="A6" i="2" s="1"/>
  <c r="F4" i="1"/>
  <c r="D4" s="1"/>
  <c r="F8"/>
  <c r="D8" s="1"/>
  <c r="A7" i="2" s="1"/>
  <c r="B3" i="7"/>
  <c r="B13" i="8"/>
  <c r="A3" i="2"/>
  <c r="D6"/>
  <c r="D5"/>
  <c r="D3"/>
  <c r="D4"/>
  <c r="B9" i="3"/>
  <c r="E8" i="1"/>
  <c r="E4"/>
  <c r="E7"/>
  <c r="E5"/>
  <c r="D3" i="7"/>
  <c r="F3" s="1"/>
  <c r="B7" l="1"/>
  <c r="B4"/>
  <c r="B6"/>
  <c r="B14" i="8"/>
  <c r="C3" i="2"/>
  <c r="C4"/>
  <c r="C6"/>
  <c r="C5"/>
  <c r="B10" i="3"/>
  <c r="D7" i="7"/>
  <c r="F7" s="1"/>
  <c r="D6"/>
  <c r="F6" s="1"/>
  <c r="D4"/>
  <c r="F4" s="1"/>
  <c r="J5" i="2" l="1"/>
  <c r="B15" i="8"/>
  <c r="J6" i="2"/>
  <c r="I7"/>
  <c r="H7"/>
  <c r="I6"/>
  <c r="E4"/>
  <c r="F4"/>
  <c r="F3"/>
  <c r="E3"/>
  <c r="J3"/>
  <c r="G6"/>
  <c r="H5"/>
  <c r="H6"/>
  <c r="G4"/>
  <c r="F5"/>
  <c r="G5"/>
  <c r="J7"/>
  <c r="J4"/>
  <c r="B11" i="3"/>
  <c r="B16" i="8" l="1"/>
  <c r="E10" i="2" a="1"/>
  <c r="E10" s="1"/>
  <c r="F10" s="1"/>
  <c r="B12" i="3"/>
  <c r="B17" i="8" l="1"/>
  <c r="E13" i="2"/>
  <c r="F13" s="1"/>
  <c r="E12"/>
  <c r="G11" s="1"/>
  <c r="E11"/>
  <c r="F11" s="1"/>
  <c r="E14"/>
  <c r="G13" s="1"/>
  <c r="B13" i="3"/>
  <c r="F12" i="2" l="1"/>
  <c r="B18" i="8"/>
  <c r="G12" i="2"/>
  <c r="G10"/>
  <c r="B14" i="3"/>
  <c r="D6" i="8"/>
  <c r="C16"/>
  <c r="D5"/>
  <c r="C7" i="7"/>
  <c r="D8" i="8"/>
  <c r="D3"/>
  <c r="C6" i="7"/>
  <c r="C17" i="8"/>
  <c r="D11"/>
  <c r="C5"/>
  <c r="C13"/>
  <c r="C4" i="3"/>
  <c r="C3"/>
  <c r="D14" i="8"/>
  <c r="C12"/>
  <c r="C5" i="3"/>
  <c r="D17" i="8"/>
  <c r="C7"/>
  <c r="C14" i="3"/>
  <c r="D4" i="8"/>
  <c r="C14"/>
  <c r="C9" i="3"/>
  <c r="C3" i="7"/>
  <c r="I7"/>
  <c r="H6"/>
  <c r="H3"/>
  <c r="C4" i="8"/>
  <c r="C13" i="3"/>
  <c r="D13" i="8"/>
  <c r="C11"/>
  <c r="C7" i="3"/>
  <c r="D16" i="8"/>
  <c r="C10"/>
  <c r="C11" i="3"/>
  <c r="D7" i="8"/>
  <c r="D15"/>
  <c r="C9"/>
  <c r="C18"/>
  <c r="C8" i="3"/>
  <c r="D10" i="8"/>
  <c r="D18"/>
  <c r="C8"/>
  <c r="C10" i="3"/>
  <c r="D9" i="8"/>
  <c r="C3"/>
  <c r="C15"/>
  <c r="C6" i="3"/>
  <c r="D12" i="8"/>
  <c r="C6"/>
  <c r="C12" i="3"/>
  <c r="C5" i="7"/>
  <c r="I5" s="1"/>
  <c r="C4"/>
  <c r="H4" s="1"/>
  <c r="H7"/>
  <c r="I6"/>
  <c r="H5"/>
  <c r="I4"/>
  <c r="J5" l="1"/>
  <c r="J7"/>
  <c r="J3"/>
  <c r="J4"/>
  <c r="J6"/>
  <c r="B19" i="8"/>
  <c r="B15" i="3"/>
  <c r="E7" i="7"/>
  <c r="E6"/>
  <c r="E3"/>
  <c r="E5"/>
  <c r="E4"/>
  <c r="D19" i="8"/>
  <c r="C19"/>
  <c r="C15" i="3"/>
  <c r="G6" i="7" l="1"/>
  <c r="G7"/>
  <c r="G5"/>
  <c r="G3"/>
  <c r="G4"/>
  <c r="B20" i="8"/>
  <c r="B16" i="3"/>
  <c r="D20" i="8"/>
  <c r="C20"/>
  <c r="C16" i="3"/>
  <c r="B21" i="8" l="1"/>
  <c r="B17" i="3"/>
  <c r="D21" i="8"/>
  <c r="C21"/>
  <c r="C17" i="3"/>
  <c r="B22" i="8" l="1"/>
  <c r="B18" i="3"/>
  <c r="D22" i="8"/>
  <c r="C22"/>
  <c r="C18" i="3"/>
  <c r="B23" i="8" l="1"/>
  <c r="B19" i="3"/>
  <c r="D23" i="8"/>
  <c r="C23"/>
  <c r="C19" i="3"/>
  <c r="B20" l="1"/>
  <c r="C20"/>
  <c r="B21" l="1"/>
  <c r="C21"/>
  <c r="B22" l="1"/>
  <c r="C22"/>
  <c r="B23" l="1"/>
  <c r="C23"/>
</calcChain>
</file>

<file path=xl/sharedStrings.xml><?xml version="1.0" encoding="utf-8"?>
<sst xmlns="http://schemas.openxmlformats.org/spreadsheetml/2006/main" count="80" uniqueCount="37">
  <si>
    <t>EURUSD</t>
  </si>
  <si>
    <t>rUSD</t>
  </si>
  <si>
    <t>rEUR</t>
  </si>
  <si>
    <t>m</t>
  </si>
  <si>
    <t>T</t>
  </si>
  <si>
    <t>RR25</t>
  </si>
  <si>
    <t>ATM</t>
  </si>
  <si>
    <t>RR10</t>
  </si>
  <si>
    <t>BF25</t>
  </si>
  <si>
    <t>BF10</t>
  </si>
  <si>
    <t>DFEUR</t>
  </si>
  <si>
    <t>DFUSD</t>
  </si>
  <si>
    <t>Fwd</t>
  </si>
  <si>
    <t>10DeltaPut</t>
  </si>
  <si>
    <t>25DeltaPut</t>
  </si>
  <si>
    <t>25DeltaCall</t>
  </si>
  <si>
    <t>10DeltaCall</t>
  </si>
  <si>
    <t>Vol</t>
  </si>
  <si>
    <t>K</t>
  </si>
  <si>
    <t>Delta</t>
  </si>
  <si>
    <t>Vols</t>
  </si>
  <si>
    <t>Deltax</t>
  </si>
  <si>
    <t>Deltay</t>
  </si>
  <si>
    <t>k</t>
  </si>
  <si>
    <t>a</t>
  </si>
  <si>
    <t>b</t>
  </si>
  <si>
    <t>Vol +1bp</t>
  </si>
  <si>
    <t>Strike</t>
  </si>
  <si>
    <t>Vol Shift</t>
  </si>
  <si>
    <t>Prix</t>
  </si>
  <si>
    <t>Prix Shift</t>
  </si>
  <si>
    <t>Delta BS</t>
  </si>
  <si>
    <t>Vega BS</t>
  </si>
  <si>
    <t>Digit BS</t>
  </si>
  <si>
    <t>Digit Smile</t>
  </si>
  <si>
    <t>Smile</t>
  </si>
  <si>
    <t>Smile Shift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</si>
</sst>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0.0000"/>
    <numFmt numFmtId="165" formatCode="_-* #,##0.0000\ _€_-;\-* #,##0.0000\ _€_-;_-* &quot;-&quot;??\ _€_-;_-@_-"/>
    <numFmt numFmtId="166" formatCode="0.0000%"/>
    <numFmt numFmtId="167" formatCode="0.000000%"/>
    <numFmt numFmtId="168" formatCode="0.0%"/>
    <numFmt numFmtId="170" formatCode="0.00000%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9" fontId="0" fillId="0" borderId="0" xfId="0" applyNumberFormat="1"/>
    <xf numFmtId="0" fontId="2" fillId="0" borderId="0" xfId="0" applyFont="1"/>
    <xf numFmtId="10" fontId="0" fillId="0" borderId="0" xfId="0" applyNumberFormat="1"/>
    <xf numFmtId="164" fontId="0" fillId="0" borderId="0" xfId="0" applyNumberFormat="1"/>
    <xf numFmtId="10" fontId="0" fillId="0" borderId="0" xfId="2" applyNumberFormat="1" applyFont="1"/>
    <xf numFmtId="43" fontId="0" fillId="0" borderId="1" xfId="1" applyFont="1" applyBorder="1"/>
    <xf numFmtId="43" fontId="0" fillId="0" borderId="2" xfId="1" applyFont="1" applyBorder="1"/>
    <xf numFmtId="43" fontId="0" fillId="0" borderId="3" xfId="1" applyFont="1" applyBorder="1"/>
    <xf numFmtId="43" fontId="0" fillId="0" borderId="0" xfId="1" applyFont="1" applyBorder="1"/>
    <xf numFmtId="43" fontId="0" fillId="0" borderId="4" xfId="1" applyFont="1" applyBorder="1"/>
    <xf numFmtId="43" fontId="0" fillId="0" borderId="5" xfId="1" applyFont="1" applyBorder="1"/>
    <xf numFmtId="43" fontId="0" fillId="0" borderId="6" xfId="1" applyFont="1" applyBorder="1"/>
    <xf numFmtId="43" fontId="0" fillId="0" borderId="7" xfId="1" applyFont="1" applyBorder="1"/>
    <xf numFmtId="43" fontId="0" fillId="0" borderId="0" xfId="1" applyFont="1"/>
    <xf numFmtId="10" fontId="0" fillId="0" borderId="9" xfId="2" applyNumberFormat="1" applyFont="1" applyBorder="1"/>
    <xf numFmtId="10" fontId="0" fillId="0" borderId="9" xfId="0" applyNumberFormat="1" applyBorder="1"/>
    <xf numFmtId="0" fontId="0" fillId="0" borderId="8" xfId="0" applyBorder="1"/>
    <xf numFmtId="165" fontId="0" fillId="0" borderId="0" xfId="1" applyNumberFormat="1" applyFont="1"/>
    <xf numFmtId="166" fontId="0" fillId="0" borderId="0" xfId="2" applyNumberFormat="1" applyFont="1"/>
    <xf numFmtId="166" fontId="0" fillId="0" borderId="0" xfId="0" applyNumberFormat="1"/>
    <xf numFmtId="168" fontId="0" fillId="0" borderId="0" xfId="2" applyNumberFormat="1" applyFont="1"/>
    <xf numFmtId="167" fontId="2" fillId="0" borderId="0" xfId="0" applyNumberFormat="1" applyFont="1"/>
    <xf numFmtId="10" fontId="3" fillId="0" borderId="0" xfId="2" applyNumberFormat="1" applyFont="1"/>
    <xf numFmtId="170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'Smile View'!$C$2</c:f>
              <c:strCache>
                <c:ptCount val="1"/>
                <c:pt idx="0">
                  <c:v>Smile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View'!$C$3:$C$23</c:f>
              <c:numCache>
                <c:formatCode>0.00%</c:formatCode>
                <c:ptCount val="21"/>
                <c:pt idx="0">
                  <c:v>0.23667783796828823</c:v>
                </c:pt>
                <c:pt idx="1">
                  <c:v>0.22122925785558473</c:v>
                </c:pt>
                <c:pt idx="2">
                  <c:v>0.20578067774288128</c:v>
                </c:pt>
                <c:pt idx="3">
                  <c:v>0.1903320976301778</c:v>
                </c:pt>
                <c:pt idx="4">
                  <c:v>0.17455438272063487</c:v>
                </c:pt>
                <c:pt idx="5">
                  <c:v>0.15844551405181156</c:v>
                </c:pt>
                <c:pt idx="6">
                  <c:v>0.14354030926534309</c:v>
                </c:pt>
                <c:pt idx="7">
                  <c:v>0.13080134476217992</c:v>
                </c:pt>
                <c:pt idx="8">
                  <c:v>0.1217131638438973</c:v>
                </c:pt>
                <c:pt idx="9">
                  <c:v>0.11785961236251641</c:v>
                </c:pt>
                <c:pt idx="10">
                  <c:v>0.11906370095136366</c:v>
                </c:pt>
                <c:pt idx="11">
                  <c:v>0.12412117313941086</c:v>
                </c:pt>
                <c:pt idx="12">
                  <c:v>0.13174285108731981</c:v>
                </c:pt>
                <c:pt idx="13">
                  <c:v>0.14049622433719569</c:v>
                </c:pt>
                <c:pt idx="14">
                  <c:v>0.14793965293996383</c:v>
                </c:pt>
                <c:pt idx="15">
                  <c:v>0.155383081542732</c:v>
                </c:pt>
                <c:pt idx="16">
                  <c:v>0.16282651014550012</c:v>
                </c:pt>
                <c:pt idx="17">
                  <c:v>0.17026993874826823</c:v>
                </c:pt>
                <c:pt idx="18">
                  <c:v>0.17771336735103632</c:v>
                </c:pt>
                <c:pt idx="19">
                  <c:v>0.18515679595380446</c:v>
                </c:pt>
                <c:pt idx="20">
                  <c:v>0.19260022455657255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'Smile View'!$D$2</c:f>
              <c:strCache>
                <c:ptCount val="1"/>
                <c:pt idx="0">
                  <c:v>Smile Shift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View'!$D$3:$D$23</c:f>
              <c:numCache>
                <c:formatCode>0.00%</c:formatCode>
                <c:ptCount val="21"/>
                <c:pt idx="0">
                  <c:v>0.23669452110015937</c:v>
                </c:pt>
                <c:pt idx="1">
                  <c:v>0.22124705319624732</c:v>
                </c:pt>
                <c:pt idx="2">
                  <c:v>0.20579958529233527</c:v>
                </c:pt>
                <c:pt idx="3">
                  <c:v>0.1903521173884232</c:v>
                </c:pt>
                <c:pt idx="4">
                  <c:v>0.17457682912866443</c:v>
                </c:pt>
                <c:pt idx="5">
                  <c:v>0.15846806063601188</c:v>
                </c:pt>
                <c:pt idx="6">
                  <c:v>0.14356148096405064</c:v>
                </c:pt>
                <c:pt idx="7">
                  <c:v>0.13081909817304302</c:v>
                </c:pt>
                <c:pt idx="8">
                  <c:v>0.12172422710225296</c:v>
                </c:pt>
                <c:pt idx="9">
                  <c:v>0.11786157163597868</c:v>
                </c:pt>
                <c:pt idx="10">
                  <c:v>0.11905770223561972</c:v>
                </c:pt>
                <c:pt idx="11">
                  <c:v>0.1241088973503483</c:v>
                </c:pt>
                <c:pt idx="12">
                  <c:v>0.13172640505683117</c:v>
                </c:pt>
                <c:pt idx="13">
                  <c:v>0.14048121958551263</c:v>
                </c:pt>
                <c:pt idx="14">
                  <c:v>0.14792411230429209</c:v>
                </c:pt>
                <c:pt idx="15">
                  <c:v>0.15536700502307149</c:v>
                </c:pt>
                <c:pt idx="16">
                  <c:v>0.16280989774185095</c:v>
                </c:pt>
                <c:pt idx="17">
                  <c:v>0.17025279046063035</c:v>
                </c:pt>
                <c:pt idx="18">
                  <c:v>0.17769568317940984</c:v>
                </c:pt>
                <c:pt idx="19">
                  <c:v>0.18513857589818922</c:v>
                </c:pt>
                <c:pt idx="20">
                  <c:v>0.19258146861696868</c:v>
                </c:pt>
              </c:numCache>
            </c:numRef>
          </c:yVal>
          <c:smooth val="1"/>
        </c:ser>
        <c:axId val="55784192"/>
        <c:axId val="55786112"/>
      </c:scatterChart>
      <c:valAx>
        <c:axId val="55784192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55786112"/>
        <c:crosses val="autoZero"/>
        <c:crossBetween val="midCat"/>
      </c:valAx>
      <c:valAx>
        <c:axId val="55786112"/>
        <c:scaling>
          <c:orientation val="minMax"/>
          <c:max val="0.25"/>
          <c:min val="8.0000000000000043E-2"/>
        </c:scaling>
        <c:axPos val="l"/>
        <c:majorGridlines/>
        <c:numFmt formatCode="0.00%" sourceLinked="1"/>
        <c:tickLblPos val="nextTo"/>
        <c:crossAx val="557841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'Smile View'!$C$2</c:f>
              <c:strCache>
                <c:ptCount val="1"/>
                <c:pt idx="0">
                  <c:v>Smile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View'!$C$3:$C$23</c:f>
              <c:numCache>
                <c:formatCode>0.00%</c:formatCode>
                <c:ptCount val="21"/>
                <c:pt idx="0">
                  <c:v>0.23667783796828823</c:v>
                </c:pt>
                <c:pt idx="1">
                  <c:v>0.22122925785558473</c:v>
                </c:pt>
                <c:pt idx="2">
                  <c:v>0.20578067774288128</c:v>
                </c:pt>
                <c:pt idx="3">
                  <c:v>0.1903320976301778</c:v>
                </c:pt>
                <c:pt idx="4">
                  <c:v>0.17455438272063487</c:v>
                </c:pt>
                <c:pt idx="5">
                  <c:v>0.15844551405181156</c:v>
                </c:pt>
                <c:pt idx="6">
                  <c:v>0.14354030926534309</c:v>
                </c:pt>
                <c:pt idx="7">
                  <c:v>0.13080134476217992</c:v>
                </c:pt>
                <c:pt idx="8">
                  <c:v>0.1217131638438973</c:v>
                </c:pt>
                <c:pt idx="9">
                  <c:v>0.11785961236251641</c:v>
                </c:pt>
                <c:pt idx="10">
                  <c:v>0.11906370095136366</c:v>
                </c:pt>
                <c:pt idx="11">
                  <c:v>0.12412117313941086</c:v>
                </c:pt>
                <c:pt idx="12">
                  <c:v>0.13174285108731981</c:v>
                </c:pt>
                <c:pt idx="13">
                  <c:v>0.14049622433719569</c:v>
                </c:pt>
                <c:pt idx="14">
                  <c:v>0.14793965293996383</c:v>
                </c:pt>
                <c:pt idx="15">
                  <c:v>0.155383081542732</c:v>
                </c:pt>
                <c:pt idx="16">
                  <c:v>0.16282651014550012</c:v>
                </c:pt>
                <c:pt idx="17">
                  <c:v>0.17026993874826823</c:v>
                </c:pt>
                <c:pt idx="18">
                  <c:v>0.17771336735103632</c:v>
                </c:pt>
                <c:pt idx="19">
                  <c:v>0.18515679595380446</c:v>
                </c:pt>
                <c:pt idx="20">
                  <c:v>0.19260022455657255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'Smile View'!$D$2</c:f>
              <c:strCache>
                <c:ptCount val="1"/>
                <c:pt idx="0">
                  <c:v>Smile Shift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View'!$D$3:$D$23</c:f>
              <c:numCache>
                <c:formatCode>0.00%</c:formatCode>
                <c:ptCount val="21"/>
                <c:pt idx="0">
                  <c:v>0.23669452110015937</c:v>
                </c:pt>
                <c:pt idx="1">
                  <c:v>0.22124705319624732</c:v>
                </c:pt>
                <c:pt idx="2">
                  <c:v>0.20579958529233527</c:v>
                </c:pt>
                <c:pt idx="3">
                  <c:v>0.1903521173884232</c:v>
                </c:pt>
                <c:pt idx="4">
                  <c:v>0.17457682912866443</c:v>
                </c:pt>
                <c:pt idx="5">
                  <c:v>0.15846806063601188</c:v>
                </c:pt>
                <c:pt idx="6">
                  <c:v>0.14356148096405064</c:v>
                </c:pt>
                <c:pt idx="7">
                  <c:v>0.13081909817304302</c:v>
                </c:pt>
                <c:pt idx="8">
                  <c:v>0.12172422710225296</c:v>
                </c:pt>
                <c:pt idx="9">
                  <c:v>0.11786157163597868</c:v>
                </c:pt>
                <c:pt idx="10">
                  <c:v>0.11905770223561972</c:v>
                </c:pt>
                <c:pt idx="11">
                  <c:v>0.1241088973503483</c:v>
                </c:pt>
                <c:pt idx="12">
                  <c:v>0.13172640505683117</c:v>
                </c:pt>
                <c:pt idx="13">
                  <c:v>0.14048121958551263</c:v>
                </c:pt>
                <c:pt idx="14">
                  <c:v>0.14792411230429209</c:v>
                </c:pt>
                <c:pt idx="15">
                  <c:v>0.15536700502307149</c:v>
                </c:pt>
                <c:pt idx="16">
                  <c:v>0.16280989774185095</c:v>
                </c:pt>
                <c:pt idx="17">
                  <c:v>0.17025279046063035</c:v>
                </c:pt>
                <c:pt idx="18">
                  <c:v>0.17769568317940984</c:v>
                </c:pt>
                <c:pt idx="19">
                  <c:v>0.18513857589818922</c:v>
                </c:pt>
                <c:pt idx="20">
                  <c:v>0.19258146861696868</c:v>
                </c:pt>
              </c:numCache>
            </c:numRef>
          </c:yVal>
          <c:smooth val="1"/>
        </c:ser>
        <c:axId val="97462528"/>
        <c:axId val="97468800"/>
      </c:scatterChart>
      <c:valAx>
        <c:axId val="97462528"/>
        <c:scaling>
          <c:orientation val="minMax"/>
          <c:max val="2.2000000000000002"/>
          <c:min val="0.8"/>
        </c:scaling>
        <c:axPos val="b"/>
        <c:numFmt formatCode="General" sourceLinked="1"/>
        <c:tickLblPos val="nextTo"/>
        <c:crossAx val="97468800"/>
        <c:crosses val="autoZero"/>
        <c:crossBetween val="midCat"/>
      </c:valAx>
      <c:valAx>
        <c:axId val="97468800"/>
        <c:scaling>
          <c:orientation val="minMax"/>
          <c:max val="0.25"/>
          <c:min val="0.1"/>
        </c:scaling>
        <c:axPos val="l"/>
        <c:majorGridlines/>
        <c:numFmt formatCode="0.00%" sourceLinked="1"/>
        <c:tickLblPos val="nextTo"/>
        <c:crossAx val="97462528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</c:title>
    <c:plotArea>
      <c:layout/>
      <c:scatterChart>
        <c:scatterStyle val="smoothMarker"/>
        <c:ser>
          <c:idx val="0"/>
          <c:order val="0"/>
          <c:marker>
            <c:symbol val="none"/>
          </c:marker>
          <c:yVal>
            <c:numRef>
              <c:f>Digit!$B$2:$B$23</c:f>
              <c:numCache>
                <c:formatCode>General</c:formatCode>
                <c:ptCount val="22"/>
                <c:pt idx="0">
                  <c:v>0</c:v>
                </c:pt>
                <c:pt idx="1">
                  <c:v>0.9</c:v>
                </c:pt>
                <c:pt idx="2">
                  <c:v>0.96000000000000008</c:v>
                </c:pt>
                <c:pt idx="3">
                  <c:v>1.02</c:v>
                </c:pt>
                <c:pt idx="4">
                  <c:v>1.08</c:v>
                </c:pt>
                <c:pt idx="5">
                  <c:v>1.1400000000000001</c:v>
                </c:pt>
                <c:pt idx="6">
                  <c:v>1.2000000000000002</c:v>
                </c:pt>
                <c:pt idx="7">
                  <c:v>1.2600000000000002</c:v>
                </c:pt>
                <c:pt idx="8">
                  <c:v>1.3200000000000003</c:v>
                </c:pt>
                <c:pt idx="9">
                  <c:v>1.3800000000000003</c:v>
                </c:pt>
                <c:pt idx="10">
                  <c:v>1.4400000000000004</c:v>
                </c:pt>
                <c:pt idx="11">
                  <c:v>1.5000000000000004</c:v>
                </c:pt>
                <c:pt idx="12">
                  <c:v>1.5600000000000005</c:v>
                </c:pt>
                <c:pt idx="13">
                  <c:v>1.6200000000000006</c:v>
                </c:pt>
                <c:pt idx="14">
                  <c:v>1.6800000000000006</c:v>
                </c:pt>
                <c:pt idx="15">
                  <c:v>1.7400000000000007</c:v>
                </c:pt>
                <c:pt idx="16">
                  <c:v>1.8000000000000007</c:v>
                </c:pt>
                <c:pt idx="17">
                  <c:v>1.8600000000000008</c:v>
                </c:pt>
                <c:pt idx="18">
                  <c:v>1.9200000000000008</c:v>
                </c:pt>
                <c:pt idx="19">
                  <c:v>1.9800000000000009</c:v>
                </c:pt>
                <c:pt idx="20">
                  <c:v>2.0400000000000009</c:v>
                </c:pt>
                <c:pt idx="21">
                  <c:v>2.100000000000001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yVal>
            <c:numRef>
              <c:f>Digit!$C$2:$C$23</c:f>
              <c:numCache>
                <c:formatCode>0.00%</c:formatCode>
                <c:ptCount val="22"/>
                <c:pt idx="0" formatCode="General">
                  <c:v>0</c:v>
                </c:pt>
                <c:pt idx="1">
                  <c:v>0.23667783796828823</c:v>
                </c:pt>
                <c:pt idx="2">
                  <c:v>0.22122925785558473</c:v>
                </c:pt>
                <c:pt idx="3">
                  <c:v>0.20578067774288128</c:v>
                </c:pt>
                <c:pt idx="4">
                  <c:v>0.1903320976301778</c:v>
                </c:pt>
                <c:pt idx="5">
                  <c:v>0.17455438272063487</c:v>
                </c:pt>
                <c:pt idx="6">
                  <c:v>0.15844551405181156</c:v>
                </c:pt>
                <c:pt idx="7">
                  <c:v>0.14354030926534309</c:v>
                </c:pt>
                <c:pt idx="8">
                  <c:v>0.13080134476217992</c:v>
                </c:pt>
                <c:pt idx="9">
                  <c:v>0.1217131638438973</c:v>
                </c:pt>
                <c:pt idx="10">
                  <c:v>0.11785961236251641</c:v>
                </c:pt>
                <c:pt idx="11">
                  <c:v>0.11906370095136366</c:v>
                </c:pt>
                <c:pt idx="12">
                  <c:v>0.12412117313941086</c:v>
                </c:pt>
                <c:pt idx="13">
                  <c:v>0.13174285108731981</c:v>
                </c:pt>
                <c:pt idx="14">
                  <c:v>0.14049622433719569</c:v>
                </c:pt>
                <c:pt idx="15">
                  <c:v>0.14793965293996383</c:v>
                </c:pt>
                <c:pt idx="16">
                  <c:v>0.155383081542732</c:v>
                </c:pt>
                <c:pt idx="17">
                  <c:v>0.16282651014550012</c:v>
                </c:pt>
                <c:pt idx="18">
                  <c:v>0.17026993874826823</c:v>
                </c:pt>
                <c:pt idx="19">
                  <c:v>0.17771336735103632</c:v>
                </c:pt>
                <c:pt idx="20">
                  <c:v>0.18515679595380446</c:v>
                </c:pt>
                <c:pt idx="21">
                  <c:v>0.19260022455657255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yVal>
            <c:numRef>
              <c:f>Digit!$D$2:$D$23</c:f>
              <c:numCache>
                <c:formatCode>0.00%</c:formatCode>
                <c:ptCount val="22"/>
                <c:pt idx="0" formatCode="General">
                  <c:v>0</c:v>
                </c:pt>
                <c:pt idx="1">
                  <c:v>0.23665209033476706</c:v>
                </c:pt>
                <c:pt idx="2">
                  <c:v>0.22120351022206355</c:v>
                </c:pt>
                <c:pt idx="3">
                  <c:v>0.20575493010936013</c:v>
                </c:pt>
                <c:pt idx="4">
                  <c:v>0.19030634999665663</c:v>
                </c:pt>
                <c:pt idx="5">
                  <c:v>0.1745270343020508</c:v>
                </c:pt>
                <c:pt idx="6">
                  <c:v>0.15841941949681318</c:v>
                </c:pt>
                <c:pt idx="7">
                  <c:v>0.14351697557136264</c:v>
                </c:pt>
                <c:pt idx="8">
                  <c:v>0.13078267321477405</c:v>
                </c:pt>
                <c:pt idx="9">
                  <c:v>0.12170204341317602</c:v>
                </c:pt>
                <c:pt idx="10">
                  <c:v>0.11785773682194646</c:v>
                </c:pt>
                <c:pt idx="11">
                  <c:v>0.11906926691820539</c:v>
                </c:pt>
                <c:pt idx="12">
                  <c:v>0.12413211087550892</c:v>
                </c:pt>
                <c:pt idx="13">
                  <c:v>0.13175695576100183</c:v>
                </c:pt>
                <c:pt idx="14">
                  <c:v>0.14050863005153366</c:v>
                </c:pt>
                <c:pt idx="15">
                  <c:v>0.14795205865430178</c:v>
                </c:pt>
                <c:pt idx="16">
                  <c:v>0.15539548725706992</c:v>
                </c:pt>
                <c:pt idx="17">
                  <c:v>0.16283891585983801</c:v>
                </c:pt>
                <c:pt idx="18">
                  <c:v>0.17028234446260621</c:v>
                </c:pt>
                <c:pt idx="19">
                  <c:v>0.17772577306537432</c:v>
                </c:pt>
                <c:pt idx="20">
                  <c:v>0.18516920166814249</c:v>
                </c:pt>
                <c:pt idx="21">
                  <c:v>0.19261263027091058</c:v>
                </c:pt>
              </c:numCache>
            </c:numRef>
          </c:yVal>
          <c:smooth val="1"/>
        </c:ser>
        <c:axId val="97908992"/>
        <c:axId val="70669056"/>
      </c:scatterChart>
      <c:valAx>
        <c:axId val="97908992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70669056"/>
        <c:crosses val="autoZero"/>
        <c:crossBetween val="midCat"/>
      </c:valAx>
      <c:valAx>
        <c:axId val="70669056"/>
        <c:scaling>
          <c:orientation val="minMax"/>
          <c:max val="0.25"/>
          <c:min val="8.0000000000000043E-2"/>
        </c:scaling>
        <c:axPos val="l"/>
        <c:majorGridlines/>
        <c:numFmt formatCode="General" sourceLinked="1"/>
        <c:tickLblPos val="nextTo"/>
        <c:crossAx val="979089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Digit!$E$2</c:f>
              <c:strCache>
                <c:ptCount val="1"/>
                <c:pt idx="0">
                  <c:v>Digit Smile</c:v>
                </c:pt>
              </c:strCache>
            </c:strRef>
          </c:tx>
          <c:marker>
            <c:symbol val="none"/>
          </c:marker>
          <c:xVal>
            <c:numRef>
              <c:f>Digit!$B$3:$B$23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Digit!$E$3:$E$23</c:f>
              <c:numCache>
                <c:formatCode>0.00%</c:formatCode>
                <c:ptCount val="21"/>
                <c:pt idx="0">
                  <c:v>0.97489168190049269</c:v>
                </c:pt>
                <c:pt idx="1">
                  <c:v>0.9664997909356926</c:v>
                </c:pt>
                <c:pt idx="2">
                  <c:v>0.95496414810204056</c:v>
                </c:pt>
                <c:pt idx="3">
                  <c:v>0.93879100707933816</c:v>
                </c:pt>
                <c:pt idx="4">
                  <c:v>0.92020881195082338</c:v>
                </c:pt>
                <c:pt idx="5">
                  <c:v>0.88404522308908118</c:v>
                </c:pt>
                <c:pt idx="6">
                  <c:v>0.82114463659417902</c:v>
                </c:pt>
                <c:pt idx="7">
                  <c:v>0.7152796954099242</c:v>
                </c:pt>
                <c:pt idx="8">
                  <c:v>0.55295349123385107</c:v>
                </c:pt>
                <c:pt idx="9">
                  <c:v>0.36305656709854361</c:v>
                </c:pt>
                <c:pt idx="10">
                  <c:v>0.21101587530293836</c:v>
                </c:pt>
                <c:pt idx="11">
                  <c:v>0.11575808511969313</c:v>
                </c:pt>
                <c:pt idx="12">
                  <c:v>6.4779171911653943E-2</c:v>
                </c:pt>
                <c:pt idx="13">
                  <c:v>4.6121802963385951E-2</c:v>
                </c:pt>
                <c:pt idx="14">
                  <c:v>3.0454696443915276E-2</c:v>
                </c:pt>
                <c:pt idx="15">
                  <c:v>2.0581069023629286E-2</c:v>
                </c:pt>
                <c:pt idx="16">
                  <c:v>1.4234208289640091E-2</c:v>
                </c:pt>
                <c:pt idx="17">
                  <c:v>1.0063157676757611E-2</c:v>
                </c:pt>
                <c:pt idx="18">
                  <c:v>7.258162857485863E-3</c:v>
                </c:pt>
                <c:pt idx="19">
                  <c:v>5.3277297132537137E-3</c:v>
                </c:pt>
                <c:pt idx="20">
                  <c:v>3.9686168138427409E-3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Digit!$F$2</c:f>
              <c:strCache>
                <c:ptCount val="1"/>
                <c:pt idx="0">
                  <c:v>Digit BS</c:v>
                </c:pt>
              </c:strCache>
            </c:strRef>
          </c:tx>
          <c:marker>
            <c:symbol val="none"/>
          </c:marker>
          <c:xVal>
            <c:numRef>
              <c:f>Digit!$B$3:$B$23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Digit!$F$3:$F$23</c:f>
              <c:numCache>
                <c:formatCode>0.00%</c:formatCode>
                <c:ptCount val="21"/>
                <c:pt idx="0">
                  <c:v>0.95355881621581329</c:v>
                </c:pt>
                <c:pt idx="1">
                  <c:v>0.93713130699963354</c:v>
                </c:pt>
                <c:pt idx="2">
                  <c:v>0.91535473450379135</c:v>
                </c:pt>
                <c:pt idx="3">
                  <c:v>0.8863361372099644</c:v>
                </c:pt>
                <c:pt idx="4">
                  <c:v>0.84789977185175291</c:v>
                </c:pt>
                <c:pt idx="5">
                  <c:v>0.79634501489490395</c:v>
                </c:pt>
                <c:pt idx="6">
                  <c:v>0.72351330271314496</c:v>
                </c:pt>
                <c:pt idx="7">
                  <c:v>0.62210817579711575</c:v>
                </c:pt>
                <c:pt idx="8">
                  <c:v>0.49203704680149285</c:v>
                </c:pt>
                <c:pt idx="9">
                  <c:v>0.35315059777773494</c:v>
                </c:pt>
                <c:pt idx="10">
                  <c:v>0.23682508397417237</c:v>
                </c:pt>
                <c:pt idx="11">
                  <c:v>0.15671583605874256</c:v>
                </c:pt>
                <c:pt idx="12">
                  <c:v>0.10684271719329827</c:v>
                </c:pt>
                <c:pt idx="13">
                  <c:v>7.588392358711267E-2</c:v>
                </c:pt>
                <c:pt idx="14">
                  <c:v>5.4178667896509151E-2</c:v>
                </c:pt>
                <c:pt idx="15">
                  <c:v>3.9703808194069455E-2</c:v>
                </c:pt>
                <c:pt idx="16">
                  <c:v>2.9877820049470455E-2</c:v>
                </c:pt>
                <c:pt idx="17">
                  <c:v>2.3073922867346747E-2</c:v>
                </c:pt>
                <c:pt idx="18">
                  <c:v>1.8265432741975861E-2</c:v>
                </c:pt>
                <c:pt idx="19">
                  <c:v>1.4798296042662237E-2</c:v>
                </c:pt>
                <c:pt idx="20">
                  <c:v>1.2250065274490405E-2</c:v>
                </c:pt>
              </c:numCache>
            </c:numRef>
          </c:yVal>
          <c:smooth val="1"/>
        </c:ser>
        <c:axId val="100057088"/>
        <c:axId val="100058624"/>
      </c:scatterChart>
      <c:valAx>
        <c:axId val="100057088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100058624"/>
        <c:crosses val="autoZero"/>
        <c:crossBetween val="midCat"/>
      </c:valAx>
      <c:valAx>
        <c:axId val="100058624"/>
        <c:scaling>
          <c:orientation val="minMax"/>
        </c:scaling>
        <c:axPos val="l"/>
        <c:majorGridlines/>
        <c:numFmt formatCode="0.00%" sourceLinked="1"/>
        <c:tickLblPos val="nextTo"/>
        <c:crossAx val="100057088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53340</xdr:colOff>
      <xdr:row>1</xdr:row>
      <xdr:rowOff>87630</xdr:rowOff>
    </xdr:from>
    <xdr:to>
      <xdr:col>41</xdr:col>
      <xdr:colOff>666750</xdr:colOff>
      <xdr:row>14</xdr:row>
      <xdr:rowOff>152400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320040</xdr:colOff>
      <xdr:row>1</xdr:row>
      <xdr:rowOff>37147</xdr:rowOff>
    </xdr:from>
    <xdr:to>
      <xdr:col>8</xdr:col>
      <xdr:colOff>304800</xdr:colOff>
      <xdr:row>12</xdr:row>
      <xdr:rowOff>178117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53340</xdr:colOff>
      <xdr:row>1</xdr:row>
      <xdr:rowOff>87630</xdr:rowOff>
    </xdr:from>
    <xdr:to>
      <xdr:col>41</xdr:col>
      <xdr:colOff>666750</xdr:colOff>
      <xdr:row>14</xdr:row>
      <xdr:rowOff>152400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123826</xdr:colOff>
      <xdr:row>2</xdr:row>
      <xdr:rowOff>157163</xdr:rowOff>
    </xdr:from>
    <xdr:to>
      <xdr:col>10</xdr:col>
      <xdr:colOff>161925</xdr:colOff>
      <xdr:row>11</xdr:row>
      <xdr:rowOff>28576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I14"/>
  <sheetViews>
    <sheetView tabSelected="1" zoomScale="200" zoomScaleNormal="200" workbookViewId="0">
      <selection activeCell="D10" sqref="D10"/>
    </sheetView>
  </sheetViews>
  <sheetFormatPr baseColWidth="10" defaultRowHeight="15"/>
  <cols>
    <col min="3" max="3" width="6.5703125" bestFit="1" customWidth="1"/>
    <col min="4" max="4" width="7.140625" bestFit="1" customWidth="1"/>
    <col min="5" max="5" width="7.5703125" bestFit="1" customWidth="1"/>
  </cols>
  <sheetData>
    <row r="2" spans="1:9">
      <c r="B2" s="2" t="s">
        <v>12</v>
      </c>
      <c r="C2" s="4">
        <f>I2*I13/I14</f>
        <v>1.3875117942185744</v>
      </c>
      <c r="H2" s="2" t="s">
        <v>0</v>
      </c>
      <c r="I2">
        <v>1.3889</v>
      </c>
    </row>
    <row r="3" spans="1:9">
      <c r="C3" s="2" t="s">
        <v>17</v>
      </c>
      <c r="D3" s="2" t="s">
        <v>18</v>
      </c>
      <c r="E3" s="2" t="s">
        <v>19</v>
      </c>
      <c r="H3" s="2" t="s">
        <v>1</v>
      </c>
      <c r="I3" s="3">
        <v>3.0000000000000001E-3</v>
      </c>
    </row>
    <row r="4" spans="1:9">
      <c r="A4">
        <v>-0.1</v>
      </c>
      <c r="B4" s="2" t="s">
        <v>13</v>
      </c>
      <c r="C4" s="1">
        <f>I7+I11-I9/2</f>
        <v>0.18</v>
      </c>
      <c r="D4">
        <f>F4</f>
        <v>1.1201283388692078</v>
      </c>
      <c r="E4" s="5">
        <f>BSDelta($C$2,D4,$I$6,C4,-1)*$I$13</f>
        <v>-0.10000000000000023</v>
      </c>
      <c r="F4">
        <f>$C$2*EXP(NORMSINV(-A4/$I$13)*C4*SQRT($I$6)+0.5*C4*C4*$I$6)</f>
        <v>1.1201283388692078</v>
      </c>
      <c r="H4" s="2" t="s">
        <v>2</v>
      </c>
      <c r="I4" s="3">
        <v>5.0000000000000001E-3</v>
      </c>
    </row>
    <row r="5" spans="1:9">
      <c r="A5">
        <v>-0.25</v>
      </c>
      <c r="B5" s="2" t="s">
        <v>14</v>
      </c>
      <c r="C5" s="1">
        <f>I7+I10-I8/2</f>
        <v>0.14000000000000001</v>
      </c>
      <c r="D5">
        <f>F5</f>
        <v>1.2754824220594463</v>
      </c>
      <c r="E5" s="5">
        <f>BSDelta($C$2,D5,$I$6,C5,-1)*I13</f>
        <v>-0.25000000000000011</v>
      </c>
      <c r="F5">
        <f>$C$2*EXP(NORMSINV(-A5/$I$13)*C5*SQRT($I$6)+0.5*C5*C5*$I$6)</f>
        <v>1.2754824220594463</v>
      </c>
      <c r="H5" s="2" t="s">
        <v>3</v>
      </c>
      <c r="I5" s="3">
        <v>1E-3</v>
      </c>
    </row>
    <row r="6" spans="1:9">
      <c r="A6">
        <v>0</v>
      </c>
      <c r="B6" s="2" t="s">
        <v>6</v>
      </c>
      <c r="C6" s="1">
        <f>I7</f>
        <v>0.12</v>
      </c>
      <c r="D6">
        <f>F6</f>
        <v>1.3975379299125779</v>
      </c>
      <c r="E6" s="5">
        <f>(BSDelta($C$2,D6,$I$6,C6,-1)+BSDelta($C$2,D6,$I$6,C6,1))*I13</f>
        <v>-4.4231640099212276E-16</v>
      </c>
      <c r="F6">
        <f>C2*EXP(0.5*I7*I7*I6)</f>
        <v>1.3975379299125779</v>
      </c>
      <c r="H6" s="2" t="s">
        <v>4</v>
      </c>
      <c r="I6">
        <v>1</v>
      </c>
    </row>
    <row r="7" spans="1:9">
      <c r="A7">
        <v>0.25</v>
      </c>
      <c r="B7" s="2" t="s">
        <v>15</v>
      </c>
      <c r="C7" s="1">
        <f>I7+I10+I8/2</f>
        <v>0.12000000000000001</v>
      </c>
      <c r="D7">
        <f>F7</f>
        <v>1.5147840053474282</v>
      </c>
      <c r="E7" s="5">
        <f>BSDelta($C$2,D7,$I$6,C7,1)*I13</f>
        <v>0.24999999999999978</v>
      </c>
      <c r="F7">
        <f>$C$2*EXP(-NORMSINV(A7/$I$13)*C7*SQRT($I$6)+0.5*C7*C7*$I$6)</f>
        <v>1.5147840053474282</v>
      </c>
      <c r="H7" s="2" t="s">
        <v>6</v>
      </c>
      <c r="I7" s="1">
        <v>0.12</v>
      </c>
    </row>
    <row r="8" spans="1:9">
      <c r="A8">
        <v>0.1</v>
      </c>
      <c r="B8" s="2" t="s">
        <v>16</v>
      </c>
      <c r="C8" s="1">
        <f>I7+I11+I9/2</f>
        <v>0.14000000000000001</v>
      </c>
      <c r="D8">
        <f>F8</f>
        <v>1.6760000341481525</v>
      </c>
      <c r="E8" s="5">
        <f>BSDelta($C$2,D8,$I$6,C8,1)*I13</f>
        <v>0.1</v>
      </c>
      <c r="F8">
        <f>$C$2*EXP(-NORMSINV(A8/$I$13)*C8*SQRT($I$6)+0.5*C8*C8*$I$6)</f>
        <v>1.6760000341481525</v>
      </c>
      <c r="H8" s="2" t="s">
        <v>5</v>
      </c>
      <c r="I8" s="1">
        <v>-0.02</v>
      </c>
    </row>
    <row r="9" spans="1:9">
      <c r="H9" s="2" t="s">
        <v>7</v>
      </c>
      <c r="I9" s="1">
        <v>-0.04</v>
      </c>
    </row>
    <row r="10" spans="1:9">
      <c r="H10" s="2" t="s">
        <v>8</v>
      </c>
      <c r="I10" s="1">
        <v>0.01</v>
      </c>
    </row>
    <row r="11" spans="1:9">
      <c r="H11" s="2" t="s">
        <v>9</v>
      </c>
      <c r="I11" s="1">
        <v>0.04</v>
      </c>
    </row>
    <row r="12" spans="1:9">
      <c r="H12" s="2"/>
    </row>
    <row r="13" spans="1:9">
      <c r="H13" s="2" t="s">
        <v>10</v>
      </c>
      <c r="I13">
        <f>EXP(-(I4-I5)*I6)</f>
        <v>0.99600798934399148</v>
      </c>
    </row>
    <row r="14" spans="1:9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J14"/>
  <sheetViews>
    <sheetView zoomScale="200" zoomScaleNormal="200" workbookViewId="0"/>
  </sheetViews>
  <sheetFormatPr baseColWidth="10" defaultRowHeight="15"/>
  <cols>
    <col min="5" max="5" width="9.28515625" bestFit="1" customWidth="1"/>
    <col min="6" max="7" width="8.7109375" bestFit="1" customWidth="1"/>
    <col min="8" max="9" width="8.28515625" bestFit="1" customWidth="1"/>
    <col min="10" max="10" width="7.28515625" bestFit="1" customWidth="1"/>
  </cols>
  <sheetData>
    <row r="2" spans="1:10" ht="15.75" thickBot="1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>
      <c r="A3" s="4">
        <f>'Smile FX'!D4</f>
        <v>1.1201283388692078</v>
      </c>
      <c r="B3" s="1">
        <f>'Smile FX'!C4</f>
        <v>0.18</v>
      </c>
      <c r="C3" s="4">
        <f t="shared" ref="C3:D6" si="0">(A4-A3)</f>
        <v>0.15535408319023847</v>
      </c>
      <c r="D3" s="4">
        <f t="shared" si="0"/>
        <v>-3.999999999999998E-2</v>
      </c>
      <c r="E3" s="6">
        <f>2/C3</f>
        <v>12.873816760586234</v>
      </c>
      <c r="F3" s="7">
        <f>1/C3</f>
        <v>6.4369083802931168</v>
      </c>
      <c r="G3" s="7">
        <v>0</v>
      </c>
      <c r="H3" s="7">
        <v>0</v>
      </c>
      <c r="I3" s="7">
        <v>0</v>
      </c>
      <c r="J3" s="12">
        <f>3*D3/C3/C3</f>
        <v>-4.9720547395545278</v>
      </c>
    </row>
    <row r="4" spans="1:10">
      <c r="A4" s="4">
        <f>'Smile FX'!D5</f>
        <v>1.2754824220594463</v>
      </c>
      <c r="B4" s="1">
        <f>'Smile FX'!C5</f>
        <v>0.14000000000000001</v>
      </c>
      <c r="C4" s="4">
        <f t="shared" si="0"/>
        <v>0.12205550785313157</v>
      </c>
      <c r="D4" s="4">
        <f t="shared" si="0"/>
        <v>-2.0000000000000018E-2</v>
      </c>
      <c r="E4" s="8">
        <f>1/C3</f>
        <v>6.4369083802931168</v>
      </c>
      <c r="F4" s="9">
        <f>2*(1/C3+1/C4)</f>
        <v>29.259804047670272</v>
      </c>
      <c r="G4" s="9">
        <f>1/C4</f>
        <v>8.1929936435420192</v>
      </c>
      <c r="H4" s="9">
        <v>0</v>
      </c>
      <c r="I4" s="9">
        <v>0</v>
      </c>
      <c r="J4" s="13">
        <f>3*(D3/C3/C3+D4/C4/C4)</f>
        <v>-8.9995634301417269</v>
      </c>
    </row>
    <row r="5" spans="1:10">
      <c r="A5" s="4">
        <f>'Smile FX'!D6</f>
        <v>1.3975379299125779</v>
      </c>
      <c r="B5" s="1">
        <f>'Smile FX'!C6</f>
        <v>0.12</v>
      </c>
      <c r="C5" s="4">
        <f t="shared" si="0"/>
        <v>0.11724607543485033</v>
      </c>
      <c r="D5" s="4">
        <f t="shared" si="0"/>
        <v>1.3877787807814457E-17</v>
      </c>
      <c r="E5" s="8">
        <v>0</v>
      </c>
      <c r="F5" s="9">
        <f>1/C4</f>
        <v>8.1929936435420192</v>
      </c>
      <c r="G5" s="9">
        <f>2*(1/C4+1/C5)</f>
        <v>33.444127549623843</v>
      </c>
      <c r="H5" s="9">
        <f>1/C5</f>
        <v>8.5290701312699042</v>
      </c>
      <c r="I5" s="9">
        <v>0</v>
      </c>
      <c r="J5" s="13">
        <f>3*(D4/C4/C4+D5/C5/C5)</f>
        <v>-4.0275086905871955</v>
      </c>
    </row>
    <row r="6" spans="1:10">
      <c r="A6" s="4">
        <f>'Smile FX'!D7</f>
        <v>1.5147840053474282</v>
      </c>
      <c r="B6" s="1">
        <f>'Smile FX'!C7</f>
        <v>0.12000000000000001</v>
      </c>
      <c r="C6" s="4">
        <f t="shared" si="0"/>
        <v>0.16121602880072428</v>
      </c>
      <c r="D6" s="4">
        <f t="shared" si="0"/>
        <v>2.0000000000000004E-2</v>
      </c>
      <c r="E6" s="8">
        <v>0</v>
      </c>
      <c r="F6" s="9">
        <v>0</v>
      </c>
      <c r="G6" s="9">
        <f>1/C5</f>
        <v>8.5290701312699042</v>
      </c>
      <c r="H6" s="9">
        <f>2*(1/C5+1/C6)</f>
        <v>29.463854600486677</v>
      </c>
      <c r="I6" s="9">
        <f>1/C6</f>
        <v>6.2028571689734333</v>
      </c>
      <c r="J6" s="13">
        <f>3*(D5/C5/C5+D6/C6/C6)</f>
        <v>2.3085262235211101</v>
      </c>
    </row>
    <row r="7" spans="1:10" ht="15.75" thickBot="1">
      <c r="A7" s="4">
        <f>'Smile FX'!D8</f>
        <v>1.6760000341481525</v>
      </c>
      <c r="B7" s="1">
        <f>'Smile FX'!C8</f>
        <v>0.14000000000000001</v>
      </c>
      <c r="C7" s="4"/>
      <c r="D7" s="1"/>
      <c r="E7" s="10">
        <v>0</v>
      </c>
      <c r="F7" s="11">
        <v>0</v>
      </c>
      <c r="G7" s="11">
        <v>0</v>
      </c>
      <c r="H7" s="11">
        <f>1/C6</f>
        <v>6.2028571689734333</v>
      </c>
      <c r="I7" s="11">
        <f>2/C6</f>
        <v>12.405714337946867</v>
      </c>
      <c r="J7" s="17">
        <f>3*D6/C6/C6</f>
        <v>2.308526223521107</v>
      </c>
    </row>
    <row r="9" spans="1:10">
      <c r="E9" s="2" t="s">
        <v>23</v>
      </c>
      <c r="F9" s="2" t="s">
        <v>24</v>
      </c>
      <c r="G9" s="2" t="s">
        <v>25</v>
      </c>
    </row>
    <row r="10" spans="1:10">
      <c r="E10" s="15">
        <f t="array" ref="E10:E14">MMULT(MINVERSE(E3:I7),J3:J7)</f>
        <v>-0.27431486253216597</v>
      </c>
      <c r="F10" s="16">
        <f>E10*C3-D3</f>
        <v>-2.6159339741409632E-3</v>
      </c>
      <c r="G10" s="16">
        <f>-E11*C3+D3</f>
        <v>-5.2318679482819472E-3</v>
      </c>
    </row>
    <row r="11" spans="1:10">
      <c r="E11" s="15">
        <v>-0.2237992805708415</v>
      </c>
      <c r="F11" s="16">
        <f>E11*C4-D4</f>
        <v>-7.3159348472395247E-3</v>
      </c>
      <c r="G11" s="16">
        <f>-E12*C4+D4</f>
        <v>-9.7877211474303484E-3</v>
      </c>
    </row>
    <row r="12" spans="1:10">
      <c r="E12" s="15">
        <v>-8.3669135725181892E-2</v>
      </c>
      <c r="F12" s="16">
        <f>E12*C5-D5</f>
        <v>-9.8098777988034208E-3</v>
      </c>
      <c r="G12" s="16">
        <f>-E13*C5+D5</f>
        <v>-8.3073521179502802E-3</v>
      </c>
    </row>
    <row r="13" spans="1:10">
      <c r="E13" s="15">
        <v>7.0853988819151628E-2</v>
      </c>
      <c r="F13" s="16">
        <f>E13*C6-D6</f>
        <v>-8.5772012978854589E-3</v>
      </c>
      <c r="G13" s="16">
        <f>-E14*C6+D6</f>
        <v>-4.288600648942726E-3</v>
      </c>
    </row>
    <row r="14" spans="1:10">
      <c r="E14" s="15">
        <v>0.15065872065962718</v>
      </c>
      <c r="F14" s="16"/>
      <c r="G14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4"/>
  <dimension ref="A2:I14"/>
  <sheetViews>
    <sheetView zoomScale="200" zoomScaleNormal="200" workbookViewId="0">
      <selection activeCell="I2" sqref="I2"/>
    </sheetView>
  </sheetViews>
  <sheetFormatPr baseColWidth="10" defaultRowHeight="15"/>
  <cols>
    <col min="3" max="3" width="6.5703125" bestFit="1" customWidth="1"/>
    <col min="4" max="4" width="7.140625" bestFit="1" customWidth="1"/>
    <col min="5" max="5" width="7.5703125" bestFit="1" customWidth="1"/>
  </cols>
  <sheetData>
    <row r="2" spans="1:9">
      <c r="B2" s="2" t="s">
        <v>12</v>
      </c>
      <c r="C2" s="4">
        <f>I2*I13/I14</f>
        <v>1.3876116942685579</v>
      </c>
      <c r="H2" s="2" t="s">
        <v>0</v>
      </c>
      <c r="I2">
        <f>'Smile FX'!I2+0.0001</f>
        <v>1.389</v>
      </c>
    </row>
    <row r="3" spans="1:9">
      <c r="C3" s="2" t="s">
        <v>17</v>
      </c>
      <c r="D3" s="2" t="s">
        <v>18</v>
      </c>
      <c r="E3" s="2" t="s">
        <v>19</v>
      </c>
      <c r="H3" s="2" t="s">
        <v>1</v>
      </c>
      <c r="I3" s="3">
        <f>'Smile FX'!I3</f>
        <v>3.0000000000000001E-3</v>
      </c>
    </row>
    <row r="4" spans="1:9">
      <c r="A4">
        <v>-0.1</v>
      </c>
      <c r="B4" s="2" t="s">
        <v>13</v>
      </c>
      <c r="C4" s="1">
        <f>I7+I11-I9/2</f>
        <v>0.18</v>
      </c>
      <c r="D4">
        <f>F4</f>
        <v>1.1202089874644177</v>
      </c>
      <c r="E4" s="5">
        <f>BSDelta($C$2,D4,$I$6,C4,-1)*I13</f>
        <v>-9.9999999999999895E-2</v>
      </c>
      <c r="F4">
        <f>$C$2*EXP(NORMSINV(-A4/$I$13)*C4*SQRT($I$6)+0.5*C4*C4*$I$6)</f>
        <v>1.1202089874644177</v>
      </c>
      <c r="H4" s="2" t="s">
        <v>2</v>
      </c>
      <c r="I4" s="3">
        <f>'Smile FX'!I4</f>
        <v>5.0000000000000001E-3</v>
      </c>
    </row>
    <row r="5" spans="1:9">
      <c r="A5">
        <v>-0.25</v>
      </c>
      <c r="B5" s="2" t="s">
        <v>14</v>
      </c>
      <c r="C5" s="1">
        <f>I7+I10-I8/2</f>
        <v>0.14000000000000001</v>
      </c>
      <c r="D5">
        <f>F5</f>
        <v>1.2755742560591627</v>
      </c>
      <c r="E5" s="5">
        <f>BSDelta($C$2,D5,$I$6,C5,-1)*I13</f>
        <v>-0.25000000000000011</v>
      </c>
      <c r="F5">
        <f>$C$2*EXP(NORMSINV(-A5/$I$13)*C5*SQRT($I$6)+0.5*C5*C5*$I$6)</f>
        <v>1.2755742560591627</v>
      </c>
      <c r="H5" s="2" t="s">
        <v>3</v>
      </c>
      <c r="I5" s="3">
        <f>'Smile FX'!I5</f>
        <v>1E-3</v>
      </c>
    </row>
    <row r="6" spans="1:9">
      <c r="A6">
        <v>0</v>
      </c>
      <c r="B6" s="2" t="s">
        <v>6</v>
      </c>
      <c r="C6" s="1">
        <f>I7</f>
        <v>0.12</v>
      </c>
      <c r="D6">
        <f>F6</f>
        <v>1.3976385518385563</v>
      </c>
      <c r="E6" s="5">
        <f>(BSDelta($C$2,D6,$I$6,C6,-1)+BSDelta($C$2,D6,$I$6,C6,1))*I13</f>
        <v>-4.4231640099212276E-16</v>
      </c>
      <c r="F6">
        <f>C2*EXP(0.5*I7*I7*I6)</f>
        <v>1.3976385518385563</v>
      </c>
      <c r="H6" s="2" t="s">
        <v>4</v>
      </c>
      <c r="I6">
        <f>'Smile FX'!I6</f>
        <v>1</v>
      </c>
    </row>
    <row r="7" spans="1:9">
      <c r="A7">
        <v>0.25</v>
      </c>
      <c r="B7" s="2" t="s">
        <v>15</v>
      </c>
      <c r="C7" s="1">
        <f>I7+I10+I8/2</f>
        <v>0.12000000000000001</v>
      </c>
      <c r="D7">
        <f>F7</f>
        <v>1.5148930689233047</v>
      </c>
      <c r="E7" s="5">
        <f>BSDelta($C$2,D7,$I$6,C7,1)*I13</f>
        <v>0.25000000000000011</v>
      </c>
      <c r="F7">
        <f>$C$2*EXP(-NORMSINV(A7/$I$13)*C7*SQRT($I$6)+0.5*C7*C7*$I$6)</f>
        <v>1.5148930689233047</v>
      </c>
      <c r="H7" s="2" t="s">
        <v>6</v>
      </c>
      <c r="I7" s="1">
        <f>'Smile FX'!I7</f>
        <v>0.12</v>
      </c>
    </row>
    <row r="8" spans="1:9">
      <c r="A8">
        <v>0.1</v>
      </c>
      <c r="B8" s="2" t="s">
        <v>16</v>
      </c>
      <c r="C8" s="1">
        <f>I7+I11+I9/2</f>
        <v>0.14000000000000001</v>
      </c>
      <c r="D8">
        <f>F8</f>
        <v>1.6761207051852431</v>
      </c>
      <c r="E8" s="5">
        <f>BSDelta($C$2,D8,$I$6,C8,1)*I13</f>
        <v>9.9999999999999784E-2</v>
      </c>
      <c r="F8">
        <f>$C$2*EXP(-NORMSINV(A8/$I$13)*C8*SQRT($I$6)+0.5*C8*C8*$I$6)</f>
        <v>1.6761207051852431</v>
      </c>
      <c r="H8" s="2" t="s">
        <v>5</v>
      </c>
      <c r="I8" s="1">
        <f>'Smile FX'!I8</f>
        <v>-0.02</v>
      </c>
    </row>
    <row r="9" spans="1:9">
      <c r="H9" s="2" t="s">
        <v>7</v>
      </c>
      <c r="I9" s="1">
        <f>'Smile FX'!I9</f>
        <v>-0.04</v>
      </c>
    </row>
    <row r="10" spans="1:9">
      <c r="H10" s="2" t="s">
        <v>8</v>
      </c>
      <c r="I10" s="1">
        <f>'Smile FX'!I10</f>
        <v>0.01</v>
      </c>
    </row>
    <row r="11" spans="1:9">
      <c r="H11" s="2" t="s">
        <v>9</v>
      </c>
      <c r="I11" s="1">
        <f>'Smile FX'!I11</f>
        <v>0.04</v>
      </c>
    </row>
    <row r="12" spans="1:9">
      <c r="H12" s="2"/>
    </row>
    <row r="13" spans="1:9">
      <c r="H13" s="2" t="s">
        <v>10</v>
      </c>
      <c r="I13">
        <f>EXP(-(I4-I5)*I6)</f>
        <v>0.99600798934399148</v>
      </c>
    </row>
    <row r="14" spans="1:9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5"/>
  <dimension ref="A2:J14"/>
  <sheetViews>
    <sheetView zoomScale="200" zoomScaleNormal="200" workbookViewId="0"/>
  </sheetViews>
  <sheetFormatPr baseColWidth="10" defaultRowHeight="15"/>
  <cols>
    <col min="5" max="5" width="9.28515625" bestFit="1" customWidth="1"/>
    <col min="6" max="7" width="8.7109375" bestFit="1" customWidth="1"/>
    <col min="8" max="9" width="8.28515625" bestFit="1" customWidth="1"/>
    <col min="10" max="10" width="7.28515625" bestFit="1" customWidth="1"/>
  </cols>
  <sheetData>
    <row r="2" spans="1:10" ht="15.75" thickBot="1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>
      <c r="A3" s="4">
        <f>'Smile FX Spot + 1pips'!D4</f>
        <v>1.1202089874644177</v>
      </c>
      <c r="B3" s="1">
        <f>'Smile FX Spot + 1pips'!C4</f>
        <v>0.18</v>
      </c>
      <c r="C3" s="4">
        <f t="shared" ref="C3:D6" si="0">(A4-A3)</f>
        <v>0.15536526859474509</v>
      </c>
      <c r="D3" s="4">
        <f t="shared" si="0"/>
        <v>-3.999999999999998E-2</v>
      </c>
      <c r="E3" s="6">
        <f>2/C3</f>
        <v>12.872889919926711</v>
      </c>
      <c r="F3" s="7">
        <f>1/C3</f>
        <v>6.4364449599633557</v>
      </c>
      <c r="G3" s="7">
        <v>0</v>
      </c>
      <c r="H3" s="7">
        <v>0</v>
      </c>
      <c r="I3" s="7">
        <v>0</v>
      </c>
      <c r="J3" s="12">
        <f>3*D3/C3/C3</f>
        <v>-4.9713388467165185</v>
      </c>
    </row>
    <row r="4" spans="1:10">
      <c r="A4" s="4">
        <f>'Smile FX Spot + 1pips'!D5</f>
        <v>1.2755742560591627</v>
      </c>
      <c r="B4" s="1">
        <f>'Smile FX Spot + 1pips'!C5</f>
        <v>0.14000000000000001</v>
      </c>
      <c r="C4" s="4">
        <f t="shared" si="0"/>
        <v>0.12206429577939359</v>
      </c>
      <c r="D4" s="4">
        <f t="shared" si="0"/>
        <v>-2.0000000000000018E-2</v>
      </c>
      <c r="E4" s="8">
        <f>1/C3</f>
        <v>6.4364449599633557</v>
      </c>
      <c r="F4" s="9">
        <f>2*(1/C3+1/C4)</f>
        <v>29.257697510301817</v>
      </c>
      <c r="G4" s="9">
        <f>1/C4</f>
        <v>8.1924037951875519</v>
      </c>
      <c r="H4" s="9">
        <v>0</v>
      </c>
      <c r="I4" s="9">
        <v>0</v>
      </c>
      <c r="J4" s="13">
        <f>3*(D3/C3/C3+D4/C4/C4)</f>
        <v>-8.9982676433207267</v>
      </c>
    </row>
    <row r="5" spans="1:10">
      <c r="A5" s="4">
        <f>'Smile FX Spot + 1pips'!D6</f>
        <v>1.3976385518385563</v>
      </c>
      <c r="B5" s="1">
        <f>'Smile FX Spot + 1pips'!C6</f>
        <v>0.12</v>
      </c>
      <c r="C5" s="4">
        <f t="shared" si="0"/>
        <v>0.11725451708474832</v>
      </c>
      <c r="D5" s="4">
        <f t="shared" si="0"/>
        <v>1.3877787807814457E-17</v>
      </c>
      <c r="E5" s="8">
        <v>0</v>
      </c>
      <c r="F5" s="9">
        <f>1/C4</f>
        <v>8.1924037951875519</v>
      </c>
      <c r="G5" s="9">
        <f>2*(1/C4+1/C5)</f>
        <v>33.441719765063056</v>
      </c>
      <c r="H5" s="9">
        <f>1/C5</f>
        <v>8.5284560873439759</v>
      </c>
      <c r="I5" s="9">
        <v>0</v>
      </c>
      <c r="J5" s="13">
        <f>3*(D4/C4/C4+D5/C5/C5)</f>
        <v>-4.0269287966042047</v>
      </c>
    </row>
    <row r="6" spans="1:10">
      <c r="A6" s="4">
        <f>'Smile FX Spot + 1pips'!D7</f>
        <v>1.5148930689233047</v>
      </c>
      <c r="B6" s="1">
        <f>'Smile FX Spot + 1pips'!C7</f>
        <v>0.12000000000000001</v>
      </c>
      <c r="C6" s="4">
        <f t="shared" si="0"/>
        <v>0.16122763626193848</v>
      </c>
      <c r="D6" s="4">
        <f t="shared" si="0"/>
        <v>2.0000000000000004E-2</v>
      </c>
      <c r="E6" s="8">
        <v>0</v>
      </c>
      <c r="F6" s="9">
        <v>0</v>
      </c>
      <c r="G6" s="9">
        <f>1/C5</f>
        <v>8.5284560873439759</v>
      </c>
      <c r="H6" s="9">
        <f>2*(1/C5+1/C6)</f>
        <v>29.461733372653665</v>
      </c>
      <c r="I6" s="9">
        <f>1/C6</f>
        <v>6.2024105989828566</v>
      </c>
      <c r="J6" s="13">
        <f>3*(D5/C5/C5+D6/C6/C6)</f>
        <v>2.3081938343024966</v>
      </c>
    </row>
    <row r="7" spans="1:10" ht="15.75" thickBot="1">
      <c r="A7" s="4">
        <f>'Smile FX Spot + 1pips'!D8</f>
        <v>1.6761207051852431</v>
      </c>
      <c r="B7" s="1">
        <f>'Smile FX Spot + 1pips'!C8</f>
        <v>0.14000000000000001</v>
      </c>
      <c r="C7" s="4"/>
      <c r="D7" s="1"/>
      <c r="E7" s="10">
        <v>0</v>
      </c>
      <c r="F7" s="11">
        <v>0</v>
      </c>
      <c r="G7" s="11">
        <v>0</v>
      </c>
      <c r="H7" s="11">
        <f>1/C6</f>
        <v>6.2024105989828566</v>
      </c>
      <c r="I7" s="11">
        <f>2/C6</f>
        <v>12.404821197965713</v>
      </c>
      <c r="J7" s="17">
        <f>3*D6/C6/C6</f>
        <v>2.308193834302493</v>
      </c>
    </row>
    <row r="9" spans="1:10">
      <c r="E9" s="2" t="s">
        <v>23</v>
      </c>
      <c r="F9" s="2" t="s">
        <v>24</v>
      </c>
      <c r="G9" s="2" t="s">
        <v>25</v>
      </c>
    </row>
    <row r="10" spans="1:10">
      <c r="E10" s="15">
        <f t="array" ref="E10:E14">MMULT(MINVERSE(E3:I7),J3:J7)</f>
        <v>-0.27429511344199053</v>
      </c>
      <c r="F10" s="16">
        <f>E10*C3-D3</f>
        <v>-2.6159339741409562E-3</v>
      </c>
      <c r="G10" s="16">
        <f>-E11*C3+D3</f>
        <v>-5.2318679482819264E-3</v>
      </c>
    </row>
    <row r="11" spans="1:10">
      <c r="E11" s="15">
        <v>-0.22378316831162104</v>
      </c>
      <c r="F11" s="16">
        <f>E11*C4-D4</f>
        <v>-7.3159348472395143E-3</v>
      </c>
      <c r="G11" s="16">
        <f>-E12*C4+D4</f>
        <v>-9.7877211474303484E-3</v>
      </c>
    </row>
    <row r="12" spans="1:10">
      <c r="E12" s="15">
        <v>-8.3663112029305348E-2</v>
      </c>
      <c r="F12" s="16">
        <f>E12*C5-D5</f>
        <v>-9.8098777988034104E-3</v>
      </c>
      <c r="G12" s="16">
        <f>-E13*C5+D5</f>
        <v>-8.3073521179502612E-3</v>
      </c>
    </row>
    <row r="13" spans="1:10">
      <c r="E13" s="15">
        <v>7.0848887740042887E-2</v>
      </c>
      <c r="F13" s="16">
        <f>E13*C6-D6</f>
        <v>-8.5772012978854572E-3</v>
      </c>
      <c r="G13" s="16">
        <f>-E14*C6+D6</f>
        <v>-4.288600648942726E-3</v>
      </c>
    </row>
    <row r="14" spans="1:10">
      <c r="E14" s="15">
        <v>0.15064787409946429</v>
      </c>
      <c r="F14" s="16"/>
      <c r="G14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3"/>
  <dimension ref="A1:U23"/>
  <sheetViews>
    <sheetView topLeftCell="C2" zoomScale="200" zoomScaleNormal="200" workbookViewId="0">
      <selection activeCell="J8" sqref="J8"/>
    </sheetView>
  </sheetViews>
  <sheetFormatPr baseColWidth="10" defaultRowHeight="15"/>
  <cols>
    <col min="12" max="12" width="8.7109375" customWidth="1"/>
    <col min="20" max="20" width="6.5703125" bestFit="1" customWidth="1"/>
  </cols>
  <sheetData>
    <row r="1" spans="1:21">
      <c r="B1">
        <f>(D1-C1)/20</f>
        <v>6.0000000000000012E-2</v>
      </c>
      <c r="C1">
        <v>0.9</v>
      </c>
      <c r="D1">
        <v>2.1</v>
      </c>
    </row>
    <row r="2" spans="1:21">
      <c r="B2" t="s">
        <v>18</v>
      </c>
      <c r="C2" s="2" t="s">
        <v>35</v>
      </c>
      <c r="D2" s="2" t="s">
        <v>36</v>
      </c>
    </row>
    <row r="3" spans="1:21">
      <c r="A3">
        <v>1</v>
      </c>
      <c r="B3">
        <f>C1</f>
        <v>0.9</v>
      </c>
      <c r="C3" s="5">
        <f t="shared" ref="C3:C23" si="0">Spline(B3,Ks,Vols,coeffa,coeffb)</f>
        <v>0.23667783796828823</v>
      </c>
      <c r="D3" s="5">
        <f>Spline(B3,'Spline Spot + 1 pips'!Ks,'Spline Spot + 1 pips'!Vols,'Spline Spot + 1 pips'!coeffa,'Spline Spot + 1 pips'!coeffb)</f>
        <v>0.23669452110015937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14"/>
      <c r="T3" s="3"/>
      <c r="U3" s="3"/>
    </row>
    <row r="4" spans="1:21">
      <c r="A4">
        <f>A3+1</f>
        <v>2</v>
      </c>
      <c r="B4">
        <f>B3+$B$1</f>
        <v>0.96000000000000008</v>
      </c>
      <c r="C4" s="5">
        <f t="shared" si="0"/>
        <v>0.22122925785558473</v>
      </c>
      <c r="D4" s="5">
        <f>Spline(B4,'Spline Spot + 1 pips'!Ks,'Spline Spot + 1 pips'!Vols,'Spline Spot + 1 pips'!coeffa,'Spline Spot + 1 pips'!coeffb)</f>
        <v>0.22124705319624732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14"/>
      <c r="T4" s="3"/>
      <c r="U4" s="3"/>
    </row>
    <row r="5" spans="1:21">
      <c r="A5">
        <f t="shared" ref="A5:A23" si="1">A4+1</f>
        <v>3</v>
      </c>
      <c r="B5">
        <f t="shared" ref="B5:B23" si="2">B4+$B$1</f>
        <v>1.02</v>
      </c>
      <c r="C5" s="5">
        <f t="shared" si="0"/>
        <v>0.20578067774288128</v>
      </c>
      <c r="D5" s="5">
        <f>Spline(B5,'Spline Spot + 1 pips'!Ks,'Spline Spot + 1 pips'!Vols,'Spline Spot + 1 pips'!coeffa,'Spline Spot + 1 pips'!coeffb)</f>
        <v>0.20579958529233527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14"/>
      <c r="T5" s="3"/>
      <c r="U5" s="3"/>
    </row>
    <row r="6" spans="1:21">
      <c r="A6">
        <f t="shared" si="1"/>
        <v>4</v>
      </c>
      <c r="B6">
        <f t="shared" si="2"/>
        <v>1.08</v>
      </c>
      <c r="C6" s="5">
        <f t="shared" si="0"/>
        <v>0.1903320976301778</v>
      </c>
      <c r="D6" s="5">
        <f>Spline(B6,'Spline Spot + 1 pips'!Ks,'Spline Spot + 1 pips'!Vols,'Spline Spot + 1 pips'!coeffa,'Spline Spot + 1 pips'!coeffb)</f>
        <v>0.1903521173884232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14"/>
      <c r="T6" s="3"/>
      <c r="U6" s="3"/>
    </row>
    <row r="7" spans="1:21">
      <c r="A7">
        <f t="shared" si="1"/>
        <v>5</v>
      </c>
      <c r="B7">
        <f t="shared" si="2"/>
        <v>1.1400000000000001</v>
      </c>
      <c r="C7" s="5">
        <f t="shared" si="0"/>
        <v>0.17455438272063487</v>
      </c>
      <c r="D7" s="5">
        <f>Spline(B7,'Spline Spot + 1 pips'!Ks,'Spline Spot + 1 pips'!Vols,'Spline Spot + 1 pips'!coeffa,'Spline Spot + 1 pips'!coeffb)</f>
        <v>0.17457682912866443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4"/>
      <c r="T7" s="3"/>
      <c r="U7" s="3"/>
    </row>
    <row r="8" spans="1:21">
      <c r="A8">
        <f t="shared" si="1"/>
        <v>6</v>
      </c>
      <c r="B8">
        <f t="shared" si="2"/>
        <v>1.2000000000000002</v>
      </c>
      <c r="C8" s="5">
        <f t="shared" si="0"/>
        <v>0.15844551405181156</v>
      </c>
      <c r="D8" s="5">
        <f>Spline(B8,'Spline Spot + 1 pips'!Ks,'Spline Spot + 1 pips'!Vols,'Spline Spot + 1 pips'!coeffa,'Spline Spot + 1 pips'!coeffb)</f>
        <v>0.15846806063601188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14"/>
      <c r="T8" s="3"/>
      <c r="U8" s="3"/>
    </row>
    <row r="9" spans="1:21">
      <c r="A9">
        <f t="shared" si="1"/>
        <v>7</v>
      </c>
      <c r="B9">
        <f t="shared" si="2"/>
        <v>1.2600000000000002</v>
      </c>
      <c r="C9" s="5">
        <f t="shared" si="0"/>
        <v>0.14354030926534309</v>
      </c>
      <c r="D9" s="5">
        <f>Spline(B9,'Spline Spot + 1 pips'!Ks,'Spline Spot + 1 pips'!Vols,'Spline Spot + 1 pips'!coeffa,'Spline Spot + 1 pips'!coeffb)</f>
        <v>0.14356148096405064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14"/>
      <c r="T9" s="3"/>
      <c r="U9" s="3"/>
    </row>
    <row r="10" spans="1:21">
      <c r="A10">
        <f t="shared" si="1"/>
        <v>8</v>
      </c>
      <c r="B10">
        <f t="shared" si="2"/>
        <v>1.3200000000000003</v>
      </c>
      <c r="C10" s="5">
        <f t="shared" si="0"/>
        <v>0.13080134476217992</v>
      </c>
      <c r="D10" s="5">
        <f>Spline(B10,'Spline Spot + 1 pips'!Ks,'Spline Spot + 1 pips'!Vols,'Spline Spot + 1 pips'!coeffa,'Spline Spot + 1 pips'!coeffb)</f>
        <v>0.13081909817304302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14"/>
      <c r="T10" s="3"/>
      <c r="U10" s="3"/>
    </row>
    <row r="11" spans="1:21">
      <c r="A11">
        <f t="shared" si="1"/>
        <v>9</v>
      </c>
      <c r="B11">
        <f t="shared" si="2"/>
        <v>1.3800000000000003</v>
      </c>
      <c r="C11" s="5">
        <f t="shared" si="0"/>
        <v>0.1217131638438973</v>
      </c>
      <c r="D11" s="5">
        <f>Spline(B11,'Spline Spot + 1 pips'!Ks,'Spline Spot + 1 pips'!Vols,'Spline Spot + 1 pips'!coeffa,'Spline Spot + 1 pips'!coeffb)</f>
        <v>0.12172422710225296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14"/>
      <c r="T11" s="3"/>
      <c r="U11" s="3"/>
    </row>
    <row r="12" spans="1:21">
      <c r="A12">
        <f t="shared" si="1"/>
        <v>10</v>
      </c>
      <c r="B12">
        <f t="shared" si="2"/>
        <v>1.4400000000000004</v>
      </c>
      <c r="C12" s="5">
        <f t="shared" si="0"/>
        <v>0.11785961236251641</v>
      </c>
      <c r="D12" s="5">
        <f>Spline(B12,'Spline Spot + 1 pips'!Ks,'Spline Spot + 1 pips'!Vols,'Spline Spot + 1 pips'!coeffa,'Spline Spot + 1 pips'!coeffb)</f>
        <v>0.11786157163597868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14"/>
      <c r="T12" s="3"/>
      <c r="U12" s="3"/>
    </row>
    <row r="13" spans="1:21">
      <c r="A13">
        <f t="shared" si="1"/>
        <v>11</v>
      </c>
      <c r="B13">
        <f t="shared" si="2"/>
        <v>1.5000000000000004</v>
      </c>
      <c r="C13" s="5">
        <f t="shared" si="0"/>
        <v>0.11906370095136366</v>
      </c>
      <c r="D13" s="5">
        <f>Spline(B13,'Spline Spot + 1 pips'!Ks,'Spline Spot + 1 pips'!Vols,'Spline Spot + 1 pips'!coeffa,'Spline Spot + 1 pips'!coeffb)</f>
        <v>0.11905770223561972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14"/>
      <c r="T13" s="3"/>
      <c r="U13" s="3"/>
    </row>
    <row r="14" spans="1:21">
      <c r="A14">
        <f t="shared" si="1"/>
        <v>12</v>
      </c>
      <c r="B14">
        <f t="shared" si="2"/>
        <v>1.5600000000000005</v>
      </c>
      <c r="C14" s="5">
        <f t="shared" si="0"/>
        <v>0.12412117313941086</v>
      </c>
      <c r="D14" s="5">
        <f>Spline(B14,'Spline Spot + 1 pips'!Ks,'Spline Spot + 1 pips'!Vols,'Spline Spot + 1 pips'!coeffa,'Spline Spot + 1 pips'!coeffb)</f>
        <v>0.1241088973503483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14"/>
      <c r="T14" s="3"/>
      <c r="U14" s="3"/>
    </row>
    <row r="15" spans="1:21">
      <c r="A15">
        <f t="shared" si="1"/>
        <v>13</v>
      </c>
      <c r="B15">
        <f t="shared" si="2"/>
        <v>1.6200000000000006</v>
      </c>
      <c r="C15" s="5">
        <f t="shared" si="0"/>
        <v>0.13174285108731981</v>
      </c>
      <c r="D15" s="5">
        <f>Spline(B15,'Spline Spot + 1 pips'!Ks,'Spline Spot + 1 pips'!Vols,'Spline Spot + 1 pips'!coeffa,'Spline Spot + 1 pips'!coeffb)</f>
        <v>0.13172640505683117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14"/>
      <c r="T15" s="3"/>
      <c r="U15" s="3"/>
    </row>
    <row r="16" spans="1:21">
      <c r="A16">
        <f t="shared" si="1"/>
        <v>14</v>
      </c>
      <c r="B16">
        <f t="shared" si="2"/>
        <v>1.6800000000000006</v>
      </c>
      <c r="C16" s="5">
        <f t="shared" si="0"/>
        <v>0.14049622433719569</v>
      </c>
      <c r="D16" s="5">
        <f>Spline(B16,'Spline Spot + 1 pips'!Ks,'Spline Spot + 1 pips'!Vols,'Spline Spot + 1 pips'!coeffa,'Spline Spot + 1 pips'!coeffb)</f>
        <v>0.14048121958551263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14"/>
      <c r="T16" s="3"/>
      <c r="U16" s="3"/>
    </row>
    <row r="17" spans="1:21">
      <c r="A17">
        <f t="shared" si="1"/>
        <v>15</v>
      </c>
      <c r="B17">
        <f t="shared" si="2"/>
        <v>1.7400000000000007</v>
      </c>
      <c r="C17" s="5">
        <f t="shared" si="0"/>
        <v>0.14793965293996383</v>
      </c>
      <c r="D17" s="5">
        <f>Spline(B17,'Spline Spot + 1 pips'!Ks,'Spline Spot + 1 pips'!Vols,'Spline Spot + 1 pips'!coeffa,'Spline Spot + 1 pips'!coeffb)</f>
        <v>0.14792411230429209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14"/>
      <c r="T17" s="3"/>
      <c r="U17" s="3"/>
    </row>
    <row r="18" spans="1:21">
      <c r="A18">
        <f t="shared" si="1"/>
        <v>16</v>
      </c>
      <c r="B18">
        <f t="shared" si="2"/>
        <v>1.8000000000000007</v>
      </c>
      <c r="C18" s="5">
        <f t="shared" si="0"/>
        <v>0.155383081542732</v>
      </c>
      <c r="D18" s="5">
        <f>Spline(B18,'Spline Spot + 1 pips'!Ks,'Spline Spot + 1 pips'!Vols,'Spline Spot + 1 pips'!coeffa,'Spline Spot + 1 pips'!coeffb)</f>
        <v>0.15536700502307149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14"/>
      <c r="T18" s="3"/>
      <c r="U18" s="3"/>
    </row>
    <row r="19" spans="1:21">
      <c r="A19">
        <f t="shared" si="1"/>
        <v>17</v>
      </c>
      <c r="B19">
        <f t="shared" si="2"/>
        <v>1.8600000000000008</v>
      </c>
      <c r="C19" s="5">
        <f t="shared" si="0"/>
        <v>0.16282651014550012</v>
      </c>
      <c r="D19" s="5">
        <f>Spline(B19,'Spline Spot + 1 pips'!Ks,'Spline Spot + 1 pips'!Vols,'Spline Spot + 1 pips'!coeffa,'Spline Spot + 1 pips'!coeffb)</f>
        <v>0.16280989774185095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14"/>
      <c r="T19" s="3"/>
      <c r="U19" s="3"/>
    </row>
    <row r="20" spans="1:21">
      <c r="A20">
        <f t="shared" si="1"/>
        <v>18</v>
      </c>
      <c r="B20">
        <f t="shared" si="2"/>
        <v>1.9200000000000008</v>
      </c>
      <c r="C20" s="5">
        <f t="shared" si="0"/>
        <v>0.17026993874826823</v>
      </c>
      <c r="D20" s="5">
        <f>Spline(B20,'Spline Spot + 1 pips'!Ks,'Spline Spot + 1 pips'!Vols,'Spline Spot + 1 pips'!coeffa,'Spline Spot + 1 pips'!coeffb)</f>
        <v>0.17025279046063035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14"/>
      <c r="T20" s="3"/>
      <c r="U20" s="3"/>
    </row>
    <row r="21" spans="1:21">
      <c r="A21">
        <f t="shared" si="1"/>
        <v>19</v>
      </c>
      <c r="B21">
        <f t="shared" si="2"/>
        <v>1.9800000000000009</v>
      </c>
      <c r="C21" s="5">
        <f t="shared" si="0"/>
        <v>0.17771336735103632</v>
      </c>
      <c r="D21" s="5">
        <f>Spline(B21,'Spline Spot + 1 pips'!Ks,'Spline Spot + 1 pips'!Vols,'Spline Spot + 1 pips'!coeffa,'Spline Spot + 1 pips'!coeffb)</f>
        <v>0.17769568317940984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14"/>
      <c r="T21" s="3"/>
      <c r="U21" s="3"/>
    </row>
    <row r="22" spans="1:21">
      <c r="A22">
        <f t="shared" si="1"/>
        <v>20</v>
      </c>
      <c r="B22">
        <f t="shared" si="2"/>
        <v>2.0400000000000009</v>
      </c>
      <c r="C22" s="5">
        <f t="shared" si="0"/>
        <v>0.18515679595380446</v>
      </c>
      <c r="D22" s="5">
        <f>Spline(B22,'Spline Spot + 1 pips'!Ks,'Spline Spot + 1 pips'!Vols,'Spline Spot + 1 pips'!coeffa,'Spline Spot + 1 pips'!coeffb)</f>
        <v>0.18513857589818922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14"/>
      <c r="T22" s="3"/>
      <c r="U22" s="3"/>
    </row>
    <row r="23" spans="1:21">
      <c r="A23">
        <f t="shared" si="1"/>
        <v>21</v>
      </c>
      <c r="B23">
        <f t="shared" si="2"/>
        <v>2.100000000000001</v>
      </c>
      <c r="C23" s="5">
        <f t="shared" si="0"/>
        <v>0.19260022455657255</v>
      </c>
      <c r="D23" s="5">
        <f>Spline(B23,'Spline Spot + 1 pips'!Ks,'Spline Spot + 1 pips'!Vols,'Spline Spot + 1 pips'!coeffa,'Spline Spot + 1 pips'!coeffb)</f>
        <v>0.19258146861696868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14"/>
      <c r="T23" s="3"/>
      <c r="U23" s="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A2:J13"/>
  <sheetViews>
    <sheetView zoomScale="200" zoomScaleNormal="200" workbookViewId="0">
      <selection activeCell="F8" sqref="F8"/>
    </sheetView>
  </sheetViews>
  <sheetFormatPr baseColWidth="10" defaultRowHeight="15"/>
  <cols>
    <col min="2" max="2" width="9.5703125" bestFit="1" customWidth="1"/>
    <col min="3" max="3" width="7.140625" bestFit="1" customWidth="1"/>
    <col min="4" max="4" width="8.5703125" bestFit="1" customWidth="1"/>
    <col min="5" max="6" width="8.28515625" bestFit="1" customWidth="1"/>
    <col min="7" max="7" width="7.85546875" bestFit="1" customWidth="1"/>
    <col min="8" max="8" width="8.28515625" bestFit="1" customWidth="1"/>
    <col min="9" max="9" width="8" bestFit="1" customWidth="1"/>
    <col min="10" max="10" width="7.85546875" bestFit="1" customWidth="1"/>
  </cols>
  <sheetData>
    <row r="2" spans="1:10">
      <c r="B2" s="2" t="s">
        <v>27</v>
      </c>
      <c r="C2" s="2" t="s">
        <v>17</v>
      </c>
      <c r="D2" s="22" t="s">
        <v>28</v>
      </c>
      <c r="E2" s="2" t="s">
        <v>29</v>
      </c>
      <c r="F2" s="2" t="s">
        <v>30</v>
      </c>
      <c r="G2" s="2" t="s">
        <v>19</v>
      </c>
      <c r="H2" s="2" t="s">
        <v>31</v>
      </c>
      <c r="I2" s="2" t="s">
        <v>32</v>
      </c>
      <c r="J2" s="2" t="s">
        <v>19</v>
      </c>
    </row>
    <row r="3" spans="1:10">
      <c r="A3" s="2" t="s">
        <v>13</v>
      </c>
      <c r="B3" s="18">
        <f>'Smile FX'!D4</f>
        <v>1.1201283388692078</v>
      </c>
      <c r="C3" s="5">
        <f>Spline($B3,Ks,Vols,coeffa,coeffb)</f>
        <v>0.18</v>
      </c>
      <c r="D3" s="5">
        <f>Spline($B3,'Spline Spot + 1 pips'!Ks,'Spline Spot + 1 pips'!Vols,'Spline Spot + 1 pips'!coeffa,'Spline Spot + 1 pips'!coeffb)</f>
        <v>0.18002076360976665</v>
      </c>
      <c r="E3" s="19">
        <f>BS('Smile FX'!$C$2,B3,'Smile FX'!$I$6,C3,-1)*'Smile FX'!$I$14</f>
        <v>1.2795596060022493E-2</v>
      </c>
      <c r="F3" s="19">
        <f>BS('Smile FX Spot + 1pips'!$C$2,B3,'Smile FX Spot + 1pips'!$I$6,D3,-1)*'Smile FX Spot + 1pips'!$I$14</f>
        <v>1.2790653411587046E-2</v>
      </c>
      <c r="G3" s="23">
        <f>(F3-E3)*10000</f>
        <v>-4.9426484354467976E-2</v>
      </c>
      <c r="H3" s="21">
        <f>BSDelta('Smile FX'!$C$2,B3,'Smile FX'!$I$6,C3,-1)*'Smile FX'!$I$13</f>
        <v>-0.10000000000000023</v>
      </c>
      <c r="I3" s="5">
        <f>BSVega('Smile FX'!$C$2,B3,'Smile FX'!$I$6,C3,-1)*'Smile FX'!$I$13</f>
        <v>0.24324314150390719</v>
      </c>
      <c r="J3" s="23">
        <f>H3+I3*(D3-C3)*10000</f>
        <v>-4.9493943313962389E-2</v>
      </c>
    </row>
    <row r="4" spans="1:10">
      <c r="A4" s="2" t="s">
        <v>14</v>
      </c>
      <c r="B4" s="18">
        <f>'Smile FX'!D5</f>
        <v>1.2754824220594463</v>
      </c>
      <c r="C4" s="5">
        <f t="shared" ref="C4:C7" si="0">Spline(B4,Ks,Vols,coeffa,coeffb)</f>
        <v>0.14000000000000001</v>
      </c>
      <c r="D4" s="5">
        <f>Spline($B4,'Spline Spot + 1 pips'!Ks,'Spline Spot + 1 pips'!Vols,'Spline Spot + 1 pips'!coeffa,'Spline Spot + 1 pips'!coeffb)</f>
        <v>0.14002055364474694</v>
      </c>
      <c r="E4" s="19">
        <f>BS('Smile FX'!$C$2,B4,'Smile FX'!$I$6,C4,-1)*'Smile FX'!$I$14</f>
        <v>3.1210869661818547E-2</v>
      </c>
      <c r="F4" s="19">
        <f>BS('Smile FX Spot + 1pips'!$C$2,B4,'Smile FX Spot + 1pips'!$I$6,D4,-1)*'Smile FX Spot + 1pips'!$I$14</f>
        <v>3.1194930090839824E-2</v>
      </c>
      <c r="G4" s="23">
        <f>(F4-E4)*10000</f>
        <v>-0.15939570978722173</v>
      </c>
      <c r="H4" s="21">
        <f>BSDelta('Smile FX'!$C$2,B4,'Smile FX'!$I$6,C4,-1)*'Smile FX'!$I$13</f>
        <v>-0.25000000000000011</v>
      </c>
      <c r="I4" s="5">
        <f>BSVega('Smile FX'!$C$2,B4,'Smile FX'!$I$6,C4,-1)*'Smile FX'!$I$13</f>
        <v>0.44009040184374171</v>
      </c>
      <c r="J4" s="23">
        <f t="shared" ref="J4:J7" si="1">H4+I4*(D4-C4)*10000</f>
        <v>-0.15954538223970516</v>
      </c>
    </row>
    <row r="5" spans="1:10">
      <c r="A5" s="2" t="s">
        <v>6</v>
      </c>
      <c r="B5" s="18">
        <f>'Smile FX'!D6</f>
        <v>1.3975379299125779</v>
      </c>
      <c r="C5" s="5">
        <f t="shared" si="0"/>
        <v>0.12</v>
      </c>
      <c r="D5" s="5">
        <f>Spline($B5,'Spline Spot + 1 pips'!Ks,'Spline Spot + 1 pips'!Vols,'Spline Spot + 1 pips'!coeffa,'Spline Spot + 1 pips'!coeffb)</f>
        <v>0.12000842667277113</v>
      </c>
      <c r="E5" s="19">
        <f>(BS('Smile FX'!$C$2,B5,'Smile FX'!$I$6,C5,-1)*'Smile FX'!$I$14+BS('Smile FX'!$C$2,B5,'Smile FX'!$I$6,C5,1)*'Smile FX'!$I$14)/2</f>
        <v>6.6544279250009136E-2</v>
      </c>
      <c r="F5" s="19">
        <f>(BS('Smile FX Spot + 1pips'!$C$2,B5,'Smile FX Spot + 1pips'!$I$6,D5,-1)*'Smile FX Spot + 1pips'!$I$14+BS('Smile FX Spot + 1pips'!$C$2,B5,'Smile FX Spot + 1pips'!$I$6,D5,1)*'Smile FX Spot + 1pips'!$I$14)/2</f>
        <v>6.6548942007814582E-2</v>
      </c>
      <c r="G5" s="23">
        <f>(F5-E5)*10000</f>
        <v>4.662757805445894E-2</v>
      </c>
      <c r="H5" s="21">
        <f>(BSDelta('Smile FX'!$C$2,B5,'Smile FX'!$I$6,C5,-1)+BSDelta('Smile FX'!$C$2,B5,'Smile FX'!$I$6,C5,1))*'Smile FX'!$I$13/2</f>
        <v>-2.2115820049606138E-16</v>
      </c>
      <c r="I5" s="5">
        <f>(BSVega('Smile FX'!$C$2,B5,'Smile FX'!$I$6,C5,-1)+BSVega('Smile FX'!$C$2,B5,'Smile FX'!$I$6,C5,1))*'Smile FX'!$I$13/2</f>
        <v>0.55132739319082147</v>
      </c>
      <c r="J5" s="23">
        <f t="shared" si="1"/>
        <v>4.6458555321826245E-2</v>
      </c>
    </row>
    <row r="6" spans="1:10">
      <c r="A6" s="2" t="s">
        <v>15</v>
      </c>
      <c r="B6" s="18">
        <f>'Smile FX'!D7</f>
        <v>1.5147840053474282</v>
      </c>
      <c r="C6" s="5">
        <f t="shared" si="0"/>
        <v>0.12000000000000001</v>
      </c>
      <c r="D6" s="5">
        <f>Spline($B6,'Spline Spot + 1 pips'!Ks,'Spline Spot + 1 pips'!Vols,'Spline Spot + 1 pips'!coeffa,'Spline Spot + 1 pips'!coeffb)</f>
        <v>0.11999227885548143</v>
      </c>
      <c r="E6" s="19">
        <f>BS('Smile FX'!$C$2,B6,'Smile FX'!$I$6,C6,1)*'Smile FX'!$I$14</f>
        <v>2.3469195022035233E-2</v>
      </c>
      <c r="F6" s="19">
        <f>BS('Smile FX Spot + 1pips'!$C$2,B6,'Smile FX Spot + 1pips'!$I$6,D6,1)*'Smile FX Spot + 1pips'!$I$14</f>
        <v>2.3490801580470802E-2</v>
      </c>
      <c r="G6" s="23">
        <f>(F6-E6)*10000</f>
        <v>0.21606558435569023</v>
      </c>
      <c r="H6" s="21">
        <f>BSDelta('Smile FX'!$C$2,B6,'Smile FX'!$I$6,C6,1)*'Smile FX'!$I$13</f>
        <v>0.24999999999999978</v>
      </c>
      <c r="I6" s="5">
        <f>BSVega('Smile FX'!$C$2,B6,'Smile FX'!$I$6,C6,-1)*'Smile FX'!$I$13</f>
        <v>0.44009040184374149</v>
      </c>
      <c r="J6" s="23">
        <f t="shared" si="1"/>
        <v>0.21601998406124567</v>
      </c>
    </row>
    <row r="7" spans="1:10">
      <c r="A7" s="2" t="s">
        <v>16</v>
      </c>
      <c r="B7" s="18">
        <f>'Smile FX'!D8</f>
        <v>1.6760000341481525</v>
      </c>
      <c r="C7" s="5">
        <f t="shared" si="0"/>
        <v>0.14000000000000001</v>
      </c>
      <c r="D7" s="5">
        <f>Spline($B7,'Spline Spot + 1 pips'!Ks,'Spline Spot + 1 pips'!Vols,'Spline Spot + 1 pips'!coeffa,'Spline Spot + 1 pips'!coeffb)</f>
        <v>0.13998182116659502</v>
      </c>
      <c r="E7" s="19">
        <f>BS('Smile FX'!$C$2,B7,'Smile FX'!$I$6,C7,1)*'Smile FX'!$I$14</f>
        <v>8.7039891956993565E-3</v>
      </c>
      <c r="F7" s="19">
        <f>BS('Smile FX Spot + 1pips'!$C$2,B7,'Smile FX Spot + 1pips'!$I$6,D7,1)*'Smile FX Spot + 1pips'!$I$14</f>
        <v>8.709564694371336E-3</v>
      </c>
      <c r="G7" s="23">
        <f>(F7-E7)*10000</f>
        <v>5.5754986719794286E-2</v>
      </c>
      <c r="H7" s="21">
        <f>BSDelta('Smile FX'!$C$2,B7,'Smile FX'!$I$6,C7,1)*'Smile FX'!$I$13</f>
        <v>0.1</v>
      </c>
      <c r="I7" s="5">
        <f>BSVega('Smile FX'!$C$2,B7,'Smile FX'!$I$6,C7,-1)*'Smile FX'!$I$13</f>
        <v>0.24324314150390694</v>
      </c>
      <c r="J7" s="23">
        <f t="shared" si="1"/>
        <v>5.5781234536937049E-2</v>
      </c>
    </row>
    <row r="9" spans="1:10">
      <c r="C9" s="20"/>
      <c r="D9" s="20"/>
      <c r="E9" s="20"/>
    </row>
    <row r="10" spans="1:10">
      <c r="C10" s="20"/>
      <c r="D10" s="20"/>
      <c r="E10" s="20"/>
    </row>
    <row r="11" spans="1:10">
      <c r="C11" s="20"/>
      <c r="D11" s="20"/>
      <c r="E11" s="20"/>
    </row>
    <row r="12" spans="1:10">
      <c r="C12" s="20"/>
      <c r="D12" s="20"/>
      <c r="E12" s="20"/>
    </row>
    <row r="13" spans="1:10">
      <c r="C13" s="20"/>
      <c r="D13" s="20"/>
      <c r="E13" s="20"/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A1:U23"/>
  <sheetViews>
    <sheetView zoomScale="200" zoomScaleNormal="200" workbookViewId="0">
      <selection activeCell="F1" sqref="F1"/>
    </sheetView>
  </sheetViews>
  <sheetFormatPr baseColWidth="10" defaultRowHeight="15"/>
  <cols>
    <col min="2" max="2" width="5.140625" bestFit="1" customWidth="1"/>
    <col min="3" max="3" width="7.140625" bestFit="1" customWidth="1"/>
    <col min="4" max="4" width="8.7109375" bestFit="1" customWidth="1"/>
    <col min="5" max="5" width="10.5703125" bestFit="1" customWidth="1"/>
    <col min="6" max="6" width="7.7109375" bestFit="1" customWidth="1"/>
    <col min="7" max="7" width="10.42578125" bestFit="1" customWidth="1"/>
    <col min="8" max="8" width="10.5703125" bestFit="1" customWidth="1"/>
    <col min="12" max="12" width="8.7109375" customWidth="1"/>
    <col min="20" max="20" width="6.5703125" bestFit="1" customWidth="1"/>
  </cols>
  <sheetData>
    <row r="1" spans="1:21">
      <c r="B1">
        <f>(D1-C1)/20</f>
        <v>6.0000000000000012E-2</v>
      </c>
      <c r="C1">
        <v>0.9</v>
      </c>
      <c r="D1">
        <v>2.1</v>
      </c>
      <c r="E1" s="24"/>
      <c r="F1" s="24"/>
      <c r="G1" s="24"/>
      <c r="K1" s="3"/>
    </row>
    <row r="2" spans="1:21">
      <c r="B2" s="2" t="s">
        <v>18</v>
      </c>
      <c r="C2" s="2" t="s">
        <v>20</v>
      </c>
      <c r="D2" s="2" t="s">
        <v>26</v>
      </c>
      <c r="E2" s="2" t="s">
        <v>34</v>
      </c>
      <c r="F2" s="2" t="s">
        <v>33</v>
      </c>
      <c r="G2" s="2" t="s">
        <v>32</v>
      </c>
      <c r="H2" s="2" t="s">
        <v>34</v>
      </c>
    </row>
    <row r="3" spans="1:21">
      <c r="A3">
        <v>1</v>
      </c>
      <c r="B3">
        <f>C1</f>
        <v>0.9</v>
      </c>
      <c r="C3" s="5">
        <f t="shared" ref="C3:C23" si="0">Spline(B3,Ks,Vols,coeffa,coeffb)</f>
        <v>0.23667783796828823</v>
      </c>
      <c r="D3" s="5">
        <f t="shared" ref="D3:D23" si="1">Spline(B3+0.0001,Ks,Vols,coeffa,coeffb)</f>
        <v>0.23665209033476706</v>
      </c>
      <c r="E3" s="23">
        <f>(BS('Smile FX'!$C$2,B3,'Smile FX'!$I$6,C3,1)-BS('Smile FX'!$C$2,B3+0.0001,'Smile FX'!$I$6,D3,1))*'Smile FX'!$I$14*10000</f>
        <v>0.97489168190049269</v>
      </c>
      <c r="F3" s="5">
        <f>BSDigit('Smile FX'!$C$2,B3,'Smile FX'!$I$6,C3,1)*'Smile FX'!$I$14</f>
        <v>0.95355881621581329</v>
      </c>
      <c r="G3" s="5">
        <f>(BSVega('Smile FX'!$C$2,B3,'Smile FX'!$I$6,C3,1))*'Smile FX'!$I$13</f>
        <v>8.2794065889396154E-2</v>
      </c>
      <c r="H3" s="23">
        <f>F3-G3*(D3-C3)*10000</f>
        <v>0.97487632887829323</v>
      </c>
      <c r="I3" s="5"/>
      <c r="J3" s="5"/>
      <c r="K3" s="5"/>
      <c r="L3" s="5"/>
      <c r="M3" s="5"/>
      <c r="N3" s="5"/>
      <c r="O3" s="5"/>
      <c r="P3" s="5"/>
      <c r="Q3" s="5"/>
      <c r="R3" s="5"/>
      <c r="S3" s="14"/>
      <c r="T3" s="3"/>
      <c r="U3" s="3"/>
    </row>
    <row r="4" spans="1:21">
      <c r="A4">
        <f>A3+1</f>
        <v>2</v>
      </c>
      <c r="B4">
        <f>B3+$B$1</f>
        <v>0.96000000000000008</v>
      </c>
      <c r="C4" s="5">
        <f t="shared" si="0"/>
        <v>0.22122925785558473</v>
      </c>
      <c r="D4" s="5">
        <f t="shared" si="1"/>
        <v>0.22120351022206355</v>
      </c>
      <c r="E4" s="23">
        <f>(BS('Smile FX'!$C$2,B4,'Smile FX'!$I$6,C4,1)-BS('Smile FX'!$C$2,B4+0.0001,'Smile FX'!$I$6,D4,1))*'Smile FX'!$I$14*10000</f>
        <v>0.9664997909356926</v>
      </c>
      <c r="F4" s="5">
        <f>BSDigit('Smile FX'!$C$2,B4,'Smile FX'!$I$6,C4,1)*'Smile FX'!$I$14</f>
        <v>0.93713130699963354</v>
      </c>
      <c r="G4" s="5">
        <f>(BSVega('Smile FX'!$C$2,B4,'Smile FX'!$I$6,C4,1))*'Smile FX'!$I$13</f>
        <v>0.11398042343746791</v>
      </c>
      <c r="H4" s="23">
        <f t="shared" ref="H4:H23" si="2">F4-G4*(D4-C4)*10000</f>
        <v>0.96647856871219351</v>
      </c>
      <c r="I4" s="5"/>
      <c r="J4" s="5"/>
      <c r="K4" s="5"/>
      <c r="L4" s="5"/>
      <c r="M4" s="5"/>
      <c r="N4" s="5"/>
      <c r="O4" s="5"/>
      <c r="P4" s="5"/>
      <c r="Q4" s="5"/>
      <c r="R4" s="5"/>
      <c r="S4" s="14"/>
      <c r="T4" s="3"/>
      <c r="U4" s="3"/>
    </row>
    <row r="5" spans="1:21">
      <c r="A5">
        <f t="shared" ref="A5:A23" si="3">A4+1</f>
        <v>3</v>
      </c>
      <c r="B5">
        <f t="shared" ref="B5:B23" si="4">B4+$B$1</f>
        <v>1.02</v>
      </c>
      <c r="C5" s="5">
        <f t="shared" si="0"/>
        <v>0.20578067774288128</v>
      </c>
      <c r="D5" s="5">
        <f t="shared" si="1"/>
        <v>0.20575493010936013</v>
      </c>
      <c r="E5" s="23">
        <f>(BS('Smile FX'!$C$2,B5,'Smile FX'!$I$6,C5,1)-BS('Smile FX'!$C$2,B5+0.0001,'Smile FX'!$I$6,D5,1))*'Smile FX'!$I$14*10000</f>
        <v>0.95496414810204056</v>
      </c>
      <c r="F5" s="5">
        <f>BSDigit('Smile FX'!$C$2,B5,'Smile FX'!$I$6,C5,1)*'Smile FX'!$I$14</f>
        <v>0.91535473450379135</v>
      </c>
      <c r="G5" s="5">
        <f>(BSVega('Smile FX'!$C$2,B5,'Smile FX'!$I$6,C5,1))*'Smile FX'!$I$13</f>
        <v>0.1537271381888651</v>
      </c>
      <c r="H5" s="23">
        <f t="shared" si="2"/>
        <v>0.95493583466720422</v>
      </c>
      <c r="I5" s="5"/>
      <c r="J5" s="5"/>
      <c r="K5" s="5"/>
      <c r="L5" s="5"/>
      <c r="M5" s="5"/>
      <c r="N5" s="5"/>
      <c r="O5" s="5"/>
      <c r="P5" s="5"/>
      <c r="Q5" s="5"/>
      <c r="R5" s="5"/>
      <c r="S5" s="14"/>
      <c r="T5" s="3"/>
      <c r="U5" s="3"/>
    </row>
    <row r="6" spans="1:21">
      <c r="A6">
        <f t="shared" si="3"/>
        <v>4</v>
      </c>
      <c r="B6">
        <f t="shared" si="4"/>
        <v>1.08</v>
      </c>
      <c r="C6" s="5">
        <f t="shared" si="0"/>
        <v>0.1903320976301778</v>
      </c>
      <c r="D6" s="5">
        <f t="shared" si="1"/>
        <v>0.19030634999665663</v>
      </c>
      <c r="E6" s="23">
        <f>(BS('Smile FX'!$C$2,B6,'Smile FX'!$I$6,C6,1)-BS('Smile FX'!$C$2,B6+0.0001,'Smile FX'!$I$6,D6,1))*'Smile FX'!$I$14*10000</f>
        <v>0.93879100707933816</v>
      </c>
      <c r="F6" s="5">
        <f>BSDigit('Smile FX'!$C$2,B6,'Smile FX'!$I$6,C6,1)*'Smile FX'!$I$14</f>
        <v>0.8863361372099644</v>
      </c>
      <c r="G6" s="5">
        <f>(BSVega('Smile FX'!$C$2,B6,'Smile FX'!$I$6,C6,1))*'Smile FX'!$I$13</f>
        <v>0.20358536160258889</v>
      </c>
      <c r="H6" s="23">
        <f t="shared" si="2"/>
        <v>0.938754550018153</v>
      </c>
      <c r="I6" s="5"/>
      <c r="J6" s="5"/>
      <c r="K6" s="5"/>
      <c r="L6" s="5"/>
      <c r="M6" s="5"/>
      <c r="N6" s="5"/>
      <c r="O6" s="5"/>
      <c r="P6" s="5"/>
      <c r="Q6" s="5"/>
      <c r="R6" s="5"/>
      <c r="S6" s="14"/>
      <c r="T6" s="3"/>
      <c r="U6" s="3"/>
    </row>
    <row r="7" spans="1:21">
      <c r="A7">
        <f t="shared" si="3"/>
        <v>5</v>
      </c>
      <c r="B7">
        <f t="shared" si="4"/>
        <v>1.1400000000000001</v>
      </c>
      <c r="C7" s="5">
        <f t="shared" si="0"/>
        <v>0.17455438272063487</v>
      </c>
      <c r="D7" s="5">
        <f t="shared" si="1"/>
        <v>0.1745270343020508</v>
      </c>
      <c r="E7" s="23">
        <f>(BS('Smile FX'!$C$2,B7,'Smile FX'!$I$6,C7,1)-BS('Smile FX'!$C$2,B7+0.0001,'Smile FX'!$I$6,D7,1))*'Smile FX'!$I$14*10000</f>
        <v>0.92020881195082338</v>
      </c>
      <c r="F7" s="5">
        <f>BSDigit('Smile FX'!$C$2,B7,'Smile FX'!$I$6,C7,1)*'Smile FX'!$I$14</f>
        <v>0.84789977185175291</v>
      </c>
      <c r="G7" s="5">
        <f>(BSVega('Smile FX'!$C$2,B7,'Smile FX'!$I$6,C7,1))*'Smile FX'!$I$13</f>
        <v>0.26421305660389166</v>
      </c>
      <c r="H7" s="23">
        <f t="shared" si="2"/>
        <v>0.92015786452554216</v>
      </c>
      <c r="I7" s="5"/>
      <c r="J7" s="5"/>
      <c r="K7" s="5"/>
      <c r="L7" s="5"/>
      <c r="M7" s="5"/>
      <c r="N7" s="5"/>
      <c r="O7" s="5"/>
      <c r="P7" s="5"/>
      <c r="Q7" s="5"/>
      <c r="R7" s="5"/>
      <c r="S7" s="14"/>
      <c r="T7" s="3"/>
      <c r="U7" s="3"/>
    </row>
    <row r="8" spans="1:21">
      <c r="A8">
        <f t="shared" si="3"/>
        <v>6</v>
      </c>
      <c r="B8">
        <f t="shared" si="4"/>
        <v>1.2000000000000002</v>
      </c>
      <c r="C8" s="5">
        <f t="shared" si="0"/>
        <v>0.15844551405181156</v>
      </c>
      <c r="D8" s="5">
        <f t="shared" si="1"/>
        <v>0.15841941949681318</v>
      </c>
      <c r="E8" s="23">
        <f>(BS('Smile FX'!$C$2,B8,'Smile FX'!$I$6,C8,1)-BS('Smile FX'!$C$2,B8+0.0001,'Smile FX'!$I$6,D8,1))*'Smile FX'!$I$14*10000</f>
        <v>0.88404522308908118</v>
      </c>
      <c r="F8" s="5">
        <f>BSDigit('Smile FX'!$C$2,B8,'Smile FX'!$I$6,C8,1)*'Smile FX'!$I$14</f>
        <v>0.79634501489490395</v>
      </c>
      <c r="G8" s="5">
        <f>(BSVega('Smile FX'!$C$2,B8,'Smile FX'!$I$6,C8,1))*'Smile FX'!$I$13</f>
        <v>0.33587960225442115</v>
      </c>
      <c r="H8" s="23">
        <f t="shared" si="2"/>
        <v>0.88399130243354018</v>
      </c>
      <c r="I8" s="5"/>
      <c r="J8" s="5"/>
      <c r="K8" s="5"/>
      <c r="L8" s="5"/>
      <c r="M8" s="5"/>
      <c r="N8" s="5"/>
      <c r="O8" s="5"/>
      <c r="P8" s="5"/>
      <c r="Q8" s="5"/>
      <c r="R8" s="5"/>
      <c r="S8" s="14"/>
      <c r="T8" s="3"/>
      <c r="U8" s="3"/>
    </row>
    <row r="9" spans="1:21">
      <c r="A9">
        <f t="shared" si="3"/>
        <v>7</v>
      </c>
      <c r="B9">
        <f t="shared" si="4"/>
        <v>1.2600000000000002</v>
      </c>
      <c r="C9" s="5">
        <f t="shared" si="0"/>
        <v>0.14354030926534309</v>
      </c>
      <c r="D9" s="5">
        <f t="shared" si="1"/>
        <v>0.14351697557136264</v>
      </c>
      <c r="E9" s="23">
        <f>(BS('Smile FX'!$C$2,B9,'Smile FX'!$I$6,C9,1)-BS('Smile FX'!$C$2,B9+0.0001,'Smile FX'!$I$6,D9,1))*'Smile FX'!$I$14*10000</f>
        <v>0.82114463659417902</v>
      </c>
      <c r="F9" s="5">
        <f>BSDigit('Smile FX'!$C$2,B9,'Smile FX'!$I$6,C9,1)*'Smile FX'!$I$14</f>
        <v>0.72351330271314496</v>
      </c>
      <c r="G9" s="5">
        <f>(BSVega('Smile FX'!$C$2,B9,'Smile FX'!$I$6,C9,1))*'Smile FX'!$I$13</f>
        <v>0.41823190903412821</v>
      </c>
      <c r="H9" s="23">
        <f t="shared" si="2"/>
        <v>0.82110225649573287</v>
      </c>
      <c r="I9" s="5"/>
      <c r="J9" s="5"/>
      <c r="K9" s="5"/>
      <c r="L9" s="5"/>
      <c r="M9" s="5"/>
      <c r="N9" s="5"/>
      <c r="O9" s="5"/>
      <c r="P9" s="5"/>
      <c r="Q9" s="5"/>
      <c r="R9" s="5"/>
      <c r="S9" s="14"/>
      <c r="T9" s="3"/>
      <c r="U9" s="3"/>
    </row>
    <row r="10" spans="1:21">
      <c r="A10">
        <f t="shared" si="3"/>
        <v>8</v>
      </c>
      <c r="B10">
        <f t="shared" si="4"/>
        <v>1.3200000000000003</v>
      </c>
      <c r="C10" s="5">
        <f t="shared" si="0"/>
        <v>0.13080134476217992</v>
      </c>
      <c r="D10" s="5">
        <f t="shared" si="1"/>
        <v>0.13078267321477405</v>
      </c>
      <c r="E10" s="23">
        <f>(BS('Smile FX'!$C$2,B10,'Smile FX'!$I$6,C10,1)-BS('Smile FX'!$C$2,B10+0.0001,'Smile FX'!$I$6,D10,1))*'Smile FX'!$I$14*10000</f>
        <v>0.7152796954099242</v>
      </c>
      <c r="F10" s="5">
        <f>BSDigit('Smile FX'!$C$2,B10,'Smile FX'!$I$6,C10,1)*'Smile FX'!$I$14</f>
        <v>0.62210817579711575</v>
      </c>
      <c r="G10" s="5">
        <f>(BSVega('Smile FX'!$C$2,B10,'Smile FX'!$I$6,C10,1))*'Smile FX'!$I$13</f>
        <v>0.49896618868924553</v>
      </c>
      <c r="H10" s="23">
        <f t="shared" si="2"/>
        <v>0.71527288425748359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14"/>
      <c r="T10" s="3"/>
      <c r="U10" s="3"/>
    </row>
    <row r="11" spans="1:21">
      <c r="A11">
        <f t="shared" si="3"/>
        <v>9</v>
      </c>
      <c r="B11">
        <f t="shared" si="4"/>
        <v>1.3800000000000003</v>
      </c>
      <c r="C11" s="5">
        <f t="shared" si="0"/>
        <v>0.1217131638438973</v>
      </c>
      <c r="D11" s="5">
        <f t="shared" si="1"/>
        <v>0.12170204341317602</v>
      </c>
      <c r="E11" s="23">
        <f>(BS('Smile FX'!$C$2,B11,'Smile FX'!$I$6,C11,1)-BS('Smile FX'!$C$2,B11+0.0001,'Smile FX'!$I$6,D11,1))*'Smile FX'!$I$14*10000</f>
        <v>0.55295349123385107</v>
      </c>
      <c r="F11" s="5">
        <f>BSDigit('Smile FX'!$C$2,B11,'Smile FX'!$I$6,C11,1)*'Smile FX'!$I$14</f>
        <v>0.49203704680149285</v>
      </c>
      <c r="G11" s="5">
        <f>(BSVega('Smile FX'!$C$2,B11,'Smile FX'!$I$6,C11,1))*'Smile FX'!$I$13</f>
        <v>0.54827014355683834</v>
      </c>
      <c r="H11" s="23">
        <f t="shared" si="2"/>
        <v>0.5530070482812014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14"/>
      <c r="T11" s="3"/>
      <c r="U11" s="3"/>
    </row>
    <row r="12" spans="1:21">
      <c r="A12">
        <f t="shared" si="3"/>
        <v>10</v>
      </c>
      <c r="B12">
        <f t="shared" si="4"/>
        <v>1.4400000000000004</v>
      </c>
      <c r="C12" s="5">
        <f t="shared" si="0"/>
        <v>0.11785961236251641</v>
      </c>
      <c r="D12" s="5">
        <f t="shared" si="1"/>
        <v>0.11785773682194646</v>
      </c>
      <c r="E12" s="23">
        <f>(BS('Smile FX'!$C$2,B12,'Smile FX'!$I$6,C12,1)-BS('Smile FX'!$C$2,B12+0.0001,'Smile FX'!$I$6,D12,1))*'Smile FX'!$I$14*10000</f>
        <v>0.36305656709854361</v>
      </c>
      <c r="F12" s="5">
        <f>BSDigit('Smile FX'!$C$2,B12,'Smile FX'!$I$6,C12,1)*'Smile FX'!$I$14</f>
        <v>0.35315059777773494</v>
      </c>
      <c r="G12" s="5">
        <f>(BSVega('Smile FX'!$C$2,B12,'Smile FX'!$I$6,C12,1))*'Smile FX'!$I$13</f>
        <v>0.53353858498247497</v>
      </c>
      <c r="H12" s="23">
        <f t="shared" si="2"/>
        <v>0.36315733039540943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14"/>
      <c r="T12" s="3"/>
      <c r="U12" s="3"/>
    </row>
    <row r="13" spans="1:21">
      <c r="A13">
        <f t="shared" si="3"/>
        <v>11</v>
      </c>
      <c r="B13">
        <f t="shared" si="4"/>
        <v>1.5000000000000004</v>
      </c>
      <c r="C13" s="5">
        <f t="shared" si="0"/>
        <v>0.11906370095136366</v>
      </c>
      <c r="D13" s="5">
        <f t="shared" si="1"/>
        <v>0.11906926691820539</v>
      </c>
      <c r="E13" s="23">
        <f>(BS('Smile FX'!$C$2,B13,'Smile FX'!$I$6,C13,1)-BS('Smile FX'!$C$2,B13+0.0001,'Smile FX'!$I$6,D13,1))*'Smile FX'!$I$14*10000</f>
        <v>0.21101587530293836</v>
      </c>
      <c r="F13" s="5">
        <f>BSDigit('Smile FX'!$C$2,B13,'Smile FX'!$I$6,C13,1)*'Smile FX'!$I$14</f>
        <v>0.23682508397417237</v>
      </c>
      <c r="G13" s="5">
        <f>(BSVega('Smile FX'!$C$2,B13,'Smile FX'!$I$6,C13,1))*'Smile FX'!$I$13</f>
        <v>0.46183425498140462</v>
      </c>
      <c r="H13" s="23">
        <f t="shared" si="2"/>
        <v>0.21111954247815329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14"/>
      <c r="T13" s="3"/>
      <c r="U13" s="3"/>
    </row>
    <row r="14" spans="1:21">
      <c r="A14">
        <f t="shared" si="3"/>
        <v>12</v>
      </c>
      <c r="B14">
        <f t="shared" si="4"/>
        <v>1.5600000000000005</v>
      </c>
      <c r="C14" s="5">
        <f t="shared" si="0"/>
        <v>0.12412117313941086</v>
      </c>
      <c r="D14" s="5">
        <f t="shared" si="1"/>
        <v>0.12413211087550892</v>
      </c>
      <c r="E14" s="23">
        <f>(BS('Smile FX'!$C$2,B14,'Smile FX'!$I$6,C14,1)-BS('Smile FX'!$C$2,B14+0.0001,'Smile FX'!$I$6,D14,1))*'Smile FX'!$I$14*10000</f>
        <v>0.11575808511969313</v>
      </c>
      <c r="F14" s="5">
        <f>BSDigit('Smile FX'!$C$2,B14,'Smile FX'!$I$6,C14,1)*'Smile FX'!$I$14</f>
        <v>0.15671583605874256</v>
      </c>
      <c r="G14" s="5">
        <f>(BSVega('Smile FX'!$C$2,B14,'Smile FX'!$I$6,C14,1))*'Smile FX'!$I$13</f>
        <v>0.37367869526932906</v>
      </c>
      <c r="H14" s="23">
        <f t="shared" si="2"/>
        <v>0.1158438465155094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14"/>
      <c r="T14" s="3"/>
      <c r="U14" s="3"/>
    </row>
    <row r="15" spans="1:21">
      <c r="A15">
        <f t="shared" si="3"/>
        <v>13</v>
      </c>
      <c r="B15">
        <f t="shared" si="4"/>
        <v>1.6200000000000006</v>
      </c>
      <c r="C15" s="5">
        <f t="shared" si="0"/>
        <v>0.13174285108731981</v>
      </c>
      <c r="D15" s="5">
        <f t="shared" si="1"/>
        <v>0.13175695576100183</v>
      </c>
      <c r="E15" s="23">
        <f>(BS('Smile FX'!$C$2,B15,'Smile FX'!$I$6,C15,1)-BS('Smile FX'!$C$2,B15+0.0001,'Smile FX'!$I$6,D15,1))*'Smile FX'!$I$14*10000</f>
        <v>6.4779171911653943E-2</v>
      </c>
      <c r="F15" s="5">
        <f>BSDigit('Smile FX'!$C$2,B15,'Smile FX'!$I$6,C15,1)*'Smile FX'!$I$14</f>
        <v>0.10684271719329827</v>
      </c>
      <c r="G15" s="5">
        <f>(BSVega('Smile FX'!$C$2,B15,'Smile FX'!$I$6,C15,1))*'Smile FX'!$I$13</f>
        <v>0.29775374309632191</v>
      </c>
      <c r="H15" s="23">
        <f t="shared" si="2"/>
        <v>6.4845523353580237E-2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14"/>
      <c r="T15" s="3"/>
      <c r="U15" s="3"/>
    </row>
    <row r="16" spans="1:21">
      <c r="A16">
        <f t="shared" si="3"/>
        <v>14</v>
      </c>
      <c r="B16">
        <f t="shared" si="4"/>
        <v>1.6800000000000006</v>
      </c>
      <c r="C16" s="5">
        <f t="shared" si="0"/>
        <v>0.14049622433719569</v>
      </c>
      <c r="D16" s="5">
        <f t="shared" si="1"/>
        <v>0.14050863005153366</v>
      </c>
      <c r="E16" s="23">
        <f>(BS('Smile FX'!$C$2,B16,'Smile FX'!$I$6,C16,1)-BS('Smile FX'!$C$2,B16+0.0001,'Smile FX'!$I$6,D16,1))*'Smile FX'!$I$14*10000</f>
        <v>4.6121802963385951E-2</v>
      </c>
      <c r="F16" s="5">
        <f>BSDigit('Smile FX'!$C$2,B16,'Smile FX'!$I$6,C16,1)*'Smile FX'!$I$14</f>
        <v>7.588392358711267E-2</v>
      </c>
      <c r="G16" s="5">
        <f>(BSVega('Smile FX'!$C$2,B16,'Smile FX'!$I$6,C16,1))*'Smile FX'!$I$13</f>
        <v>0.23953481708966082</v>
      </c>
      <c r="H16" s="23">
        <f t="shared" si="2"/>
        <v>4.6167918438988549E-2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14"/>
      <c r="T16" s="3"/>
      <c r="U16" s="3"/>
    </row>
    <row r="17" spans="1:21">
      <c r="A17">
        <f t="shared" si="3"/>
        <v>15</v>
      </c>
      <c r="B17">
        <f t="shared" si="4"/>
        <v>1.7400000000000007</v>
      </c>
      <c r="C17" s="5">
        <f t="shared" si="0"/>
        <v>0.14793965293996383</v>
      </c>
      <c r="D17" s="5">
        <f t="shared" si="1"/>
        <v>0.14795205865430178</v>
      </c>
      <c r="E17" s="23">
        <f>(BS('Smile FX'!$C$2,B17,'Smile FX'!$I$6,C17,1)-BS('Smile FX'!$C$2,B17+0.0001,'Smile FX'!$I$6,D17,1))*'Smile FX'!$I$14*10000</f>
        <v>3.0454696443915276E-2</v>
      </c>
      <c r="F17" s="5">
        <f>BSDigit('Smile FX'!$C$2,B17,'Smile FX'!$I$6,C17,1)*'Smile FX'!$I$14</f>
        <v>5.4178667896509151E-2</v>
      </c>
      <c r="G17" s="5">
        <f>(BSVega('Smile FX'!$C$2,B17,'Smile FX'!$I$6,C17,1))*'Smile FX'!$I$13</f>
        <v>0.19096059545187649</v>
      </c>
      <c r="H17" s="23">
        <f t="shared" si="2"/>
        <v>3.0488641926714345E-2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14"/>
      <c r="T17" s="3"/>
      <c r="U17" s="3"/>
    </row>
    <row r="18" spans="1:21">
      <c r="A18">
        <f t="shared" si="3"/>
        <v>16</v>
      </c>
      <c r="B18">
        <f t="shared" si="4"/>
        <v>1.8000000000000007</v>
      </c>
      <c r="C18" s="5">
        <f t="shared" si="0"/>
        <v>0.155383081542732</v>
      </c>
      <c r="D18" s="5">
        <f t="shared" si="1"/>
        <v>0.15539548725706992</v>
      </c>
      <c r="E18" s="23">
        <f>(BS('Smile FX'!$C$2,B18,'Smile FX'!$I$6,C18,1)-BS('Smile FX'!$C$2,B18+0.0001,'Smile FX'!$I$6,D18,1))*'Smile FX'!$I$14*10000</f>
        <v>2.0581069023629286E-2</v>
      </c>
      <c r="F18" s="5">
        <f>BSDigit('Smile FX'!$C$2,B18,'Smile FX'!$I$6,C18,1)*'Smile FX'!$I$14</f>
        <v>3.9703808194069455E-2</v>
      </c>
      <c r="G18" s="5">
        <f>(BSVega('Smile FX'!$C$2,B18,'Smile FX'!$I$6,C18,1))*'Smile FX'!$I$13</f>
        <v>0.15393802248286359</v>
      </c>
      <c r="H18" s="23">
        <f t="shared" si="2"/>
        <v>2.0606696867409627E-2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14"/>
      <c r="T18" s="3"/>
      <c r="U18" s="3"/>
    </row>
    <row r="19" spans="1:21">
      <c r="A19">
        <f t="shared" si="3"/>
        <v>17</v>
      </c>
      <c r="B19">
        <f t="shared" si="4"/>
        <v>1.8600000000000008</v>
      </c>
      <c r="C19" s="5">
        <f t="shared" si="0"/>
        <v>0.16282651014550012</v>
      </c>
      <c r="D19" s="5">
        <f t="shared" si="1"/>
        <v>0.16283891585983801</v>
      </c>
      <c r="E19" s="23">
        <f>(BS('Smile FX'!$C$2,B19,'Smile FX'!$I$6,C19,1)-BS('Smile FX'!$C$2,B19+0.0001,'Smile FX'!$I$6,D19,1))*'Smile FX'!$I$14*10000</f>
        <v>1.4234208289640091E-2</v>
      </c>
      <c r="F19" s="5">
        <f>BSDigit('Smile FX'!$C$2,B19,'Smile FX'!$I$6,C19,1)*'Smile FX'!$I$14</f>
        <v>2.9877820049470455E-2</v>
      </c>
      <c r="G19" s="5">
        <f>(BSVega('Smile FX'!$C$2,B19,'Smile FX'!$I$6,C19,1))*'Smile FX'!$I$13</f>
        <v>0.12593986116810374</v>
      </c>
      <c r="H19" s="23">
        <f t="shared" si="2"/>
        <v>1.4254080635423388E-2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14"/>
      <c r="T19" s="3"/>
      <c r="U19" s="3"/>
    </row>
    <row r="20" spans="1:21">
      <c r="A20">
        <f t="shared" si="3"/>
        <v>18</v>
      </c>
      <c r="B20">
        <f t="shared" si="4"/>
        <v>1.9200000000000008</v>
      </c>
      <c r="C20" s="5">
        <f t="shared" si="0"/>
        <v>0.17026993874826823</v>
      </c>
      <c r="D20" s="5">
        <f t="shared" si="1"/>
        <v>0.17028234446260621</v>
      </c>
      <c r="E20" s="23">
        <f>(BS('Smile FX'!$C$2,B20,'Smile FX'!$I$6,C20,1)-BS('Smile FX'!$C$2,B20+0.0001,'Smile FX'!$I$6,D20,1))*'Smile FX'!$I$14*10000</f>
        <v>1.0063157676757611E-2</v>
      </c>
      <c r="F20" s="5">
        <f>BSDigit('Smile FX'!$C$2,B20,'Smile FX'!$I$6,C20,1)*'Smile FX'!$I$14</f>
        <v>2.3073922867346747E-2</v>
      </c>
      <c r="G20" s="5">
        <f>(BSVega('Smile FX'!$C$2,B20,'Smile FX'!$I$6,C20,1))*'Smile FX'!$I$13</f>
        <v>0.10474965120291138</v>
      </c>
      <c r="H20" s="23">
        <f t="shared" si="2"/>
        <v>1.0078980369092794E-2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14"/>
      <c r="T20" s="3"/>
      <c r="U20" s="3"/>
    </row>
    <row r="21" spans="1:21">
      <c r="A21">
        <f t="shared" si="3"/>
        <v>19</v>
      </c>
      <c r="B21">
        <f t="shared" si="4"/>
        <v>1.9800000000000009</v>
      </c>
      <c r="C21" s="5">
        <f t="shared" si="0"/>
        <v>0.17771336735103632</v>
      </c>
      <c r="D21" s="5">
        <f t="shared" si="1"/>
        <v>0.17772577306537432</v>
      </c>
      <c r="E21" s="23">
        <f>(BS('Smile FX'!$C$2,B21,'Smile FX'!$I$6,C21,1)-BS('Smile FX'!$C$2,B21+0.0001,'Smile FX'!$I$6,D21,1))*'Smile FX'!$I$14*10000</f>
        <v>7.258162857485863E-3</v>
      </c>
      <c r="F21" s="5">
        <f>BSDigit('Smile FX'!$C$2,B21,'Smile FX'!$I$6,C21,1)*'Smile FX'!$I$14</f>
        <v>1.8265432741975861E-2</v>
      </c>
      <c r="G21" s="5">
        <f>(BSVega('Smile FX'!$C$2,B21,'Smile FX'!$I$6,C21,1))*'Smile FX'!$I$13</f>
        <v>8.862326627311494E-2</v>
      </c>
      <c r="H21" s="23">
        <f t="shared" si="2"/>
        <v>7.2710834911294247E-3</v>
      </c>
      <c r="I21" s="5"/>
      <c r="J21" s="5"/>
      <c r="K21" s="5"/>
      <c r="L21" s="5"/>
      <c r="M21" s="5"/>
      <c r="N21" s="5"/>
      <c r="O21" s="5"/>
      <c r="P21" s="5"/>
      <c r="Q21" s="5"/>
      <c r="R21" s="5"/>
      <c r="S21" s="14"/>
      <c r="T21" s="3"/>
      <c r="U21" s="3"/>
    </row>
    <row r="22" spans="1:21">
      <c r="A22">
        <f t="shared" si="3"/>
        <v>20</v>
      </c>
      <c r="B22">
        <f t="shared" si="4"/>
        <v>2.0400000000000009</v>
      </c>
      <c r="C22" s="5">
        <f t="shared" si="0"/>
        <v>0.18515679595380446</v>
      </c>
      <c r="D22" s="5">
        <f t="shared" si="1"/>
        <v>0.18516920166814249</v>
      </c>
      <c r="E22" s="23">
        <f>(BS('Smile FX'!$C$2,B22,'Smile FX'!$I$6,C22,1)-BS('Smile FX'!$C$2,B22+0.0001,'Smile FX'!$I$6,D22,1))*'Smile FX'!$I$14*10000</f>
        <v>5.3277297132537137E-3</v>
      </c>
      <c r="F22" s="5">
        <f>BSDigit('Smile FX'!$C$2,B22,'Smile FX'!$I$6,C22,1)*'Smile FX'!$I$14</f>
        <v>1.4798296042662237E-2</v>
      </c>
      <c r="G22" s="5">
        <f>(BSVega('Smile FX'!$C$2,B22,'Smile FX'!$I$6,C22,1))*'Smile FX'!$I$13</f>
        <v>7.6253277597277652E-2</v>
      </c>
      <c r="H22" s="23">
        <f t="shared" si="2"/>
        <v>5.3385322505617779E-3</v>
      </c>
      <c r="I22" s="5"/>
      <c r="J22" s="5"/>
      <c r="K22" s="5"/>
      <c r="L22" s="5"/>
      <c r="M22" s="5"/>
      <c r="N22" s="5"/>
      <c r="O22" s="5"/>
      <c r="P22" s="5"/>
      <c r="Q22" s="5"/>
      <c r="R22" s="5"/>
      <c r="S22" s="14"/>
      <c r="T22" s="3"/>
      <c r="U22" s="3"/>
    </row>
    <row r="23" spans="1:21">
      <c r="A23">
        <f t="shared" si="3"/>
        <v>21</v>
      </c>
      <c r="B23">
        <f t="shared" si="4"/>
        <v>2.100000000000001</v>
      </c>
      <c r="C23" s="5">
        <f t="shared" si="0"/>
        <v>0.19260022455657255</v>
      </c>
      <c r="D23" s="5">
        <f t="shared" si="1"/>
        <v>0.19261263027091058</v>
      </c>
      <c r="E23" s="23">
        <f>(BS('Smile FX'!$C$2,B23,'Smile FX'!$I$6,C23,1)-BS('Smile FX'!$C$2,B23+0.0001,'Smile FX'!$I$6,D23,1))*'Smile FX'!$I$14*10000</f>
        <v>3.9686168138427409E-3</v>
      </c>
      <c r="F23" s="5">
        <f>BSDigit('Smile FX'!$C$2,B23,'Smile FX'!$I$6,C23,1)*'Smile FX'!$I$14</f>
        <v>1.2250065274490405E-2</v>
      </c>
      <c r="G23" s="5">
        <f>(BSVega('Smile FX'!$C$2,B23,'Smile FX'!$I$6,C23,1))*'Smile FX'!$I$13</f>
        <v>6.668071375774004E-2</v>
      </c>
      <c r="H23" s="23">
        <f t="shared" si="2"/>
        <v>3.9778464071481834E-3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14"/>
      <c r="T23" s="3"/>
      <c r="U23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8</vt:i4>
      </vt:variant>
    </vt:vector>
  </HeadingPairs>
  <TitlesOfParts>
    <vt:vector size="15" baseType="lpstr">
      <vt:lpstr>Smile FX</vt:lpstr>
      <vt:lpstr>Spline</vt:lpstr>
      <vt:lpstr>Smile FX Spot + 1pips</vt:lpstr>
      <vt:lpstr>Spline Spot + 1 pips</vt:lpstr>
      <vt:lpstr>Smile View</vt:lpstr>
      <vt:lpstr>Delta</vt:lpstr>
      <vt:lpstr>Digit</vt:lpstr>
      <vt:lpstr>'Spline Spot + 1 pips'!coeffa</vt:lpstr>
      <vt:lpstr>coeffa</vt:lpstr>
      <vt:lpstr>'Spline Spot + 1 pips'!coeffb</vt:lpstr>
      <vt:lpstr>coeffb</vt:lpstr>
      <vt:lpstr>'Spline Spot + 1 pips'!Ks</vt:lpstr>
      <vt:lpstr>Ks</vt:lpstr>
      <vt:lpstr>'Spline Spot + 1 pips'!Vols</vt:lpstr>
      <vt:lpstr>Vols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2014-04-09T10:37:18Z</dcterms:created>
  <dcterms:modified xsi:type="dcterms:W3CDTF">2014-04-23T13:15:49Z</dcterms:modified>
</cp:coreProperties>
</file>