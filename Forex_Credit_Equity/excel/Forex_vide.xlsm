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22068" windowHeight="10800" activeTab="1"/>
  </bookViews>
  <sheets>
    <sheet name="Smile FX" sheetId="1" r:id="rId1"/>
    <sheet name="Spline" sheetId="2" r:id="rId2"/>
    <sheet name="View" sheetId="3" r:id="rId3"/>
  </sheets>
  <functionGroups/>
  <definedNames>
    <definedName name="coeffa">Spline!$F$10:$F$13</definedName>
    <definedName name="coeffb">Spline!$G$10:$G$13</definedName>
    <definedName name="Ks">Spline!$A$3:$A$7</definedName>
    <definedName name="Vols">Spline!$B$3:$B$7</definedName>
  </definedNames>
  <calcPr calcId="124519"/>
</workbook>
</file>

<file path=xl/calcChain.xml><?xml version="1.0" encoding="utf-8"?>
<calcChain xmlns="http://schemas.openxmlformats.org/spreadsheetml/2006/main">
  <c r="D4" i="1"/>
  <c r="D5"/>
  <c r="D6"/>
  <c r="D7"/>
  <c r="D8"/>
  <c r="F4"/>
  <c r="F5"/>
  <c r="F6"/>
  <c r="F7"/>
  <c r="F8"/>
  <c r="C6" i="3"/>
  <c r="C5"/>
  <c r="C4"/>
  <c r="C3"/>
  <c r="E4" i="1"/>
  <c r="E5"/>
  <c r="E6"/>
  <c r="E7"/>
  <c r="E8"/>
  <c r="B5" i="3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4"/>
  <c r="A4" i="2" l="1"/>
  <c r="B4"/>
  <c r="A5"/>
  <c r="B5"/>
  <c r="A6"/>
  <c r="B6"/>
  <c r="A7"/>
  <c r="B7"/>
  <c r="B3"/>
  <c r="A3"/>
  <c r="C8" i="1" l="1"/>
  <c r="C4"/>
  <c r="C7"/>
  <c r="C5"/>
  <c r="C6"/>
  <c r="I14"/>
  <c r="I13"/>
  <c r="C2" l="1"/>
  <c r="C23" i="3"/>
  <c r="C22"/>
  <c r="C21"/>
  <c r="C20"/>
  <c r="C19"/>
  <c r="C18"/>
  <c r="C17"/>
  <c r="C16"/>
  <c r="C15"/>
  <c r="C14"/>
  <c r="C13"/>
  <c r="C12"/>
  <c r="C11"/>
  <c r="C10"/>
  <c r="C9"/>
  <c r="C8"/>
  <c r="C7"/>
</calcChain>
</file>

<file path=xl/sharedStrings.xml><?xml version="1.0" encoding="utf-8"?>
<sst xmlns="http://schemas.openxmlformats.org/spreadsheetml/2006/main" count="30" uniqueCount="26">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</sst>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7" formatCode="0.0000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7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4" xfId="1" applyFont="1" applyBorder="1"/>
    <xf numFmtId="43" fontId="0" fillId="0" borderId="0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0" fillId="0" borderId="10" xfId="1" applyFont="1" applyBorder="1"/>
    <xf numFmtId="43" fontId="0" fillId="0" borderId="11" xfId="1" applyFont="1" applyBorder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1.05</c:v>
                </c:pt>
                <c:pt idx="2">
                  <c:v>1.1000000000000001</c:v>
                </c:pt>
                <c:pt idx="3">
                  <c:v>1.1500000000000001</c:v>
                </c:pt>
                <c:pt idx="4">
                  <c:v>1.2000000000000002</c:v>
                </c:pt>
                <c:pt idx="5">
                  <c:v>1.2500000000000002</c:v>
                </c:pt>
                <c:pt idx="6">
                  <c:v>1.3000000000000003</c:v>
                </c:pt>
                <c:pt idx="7">
                  <c:v>1.3500000000000003</c:v>
                </c:pt>
                <c:pt idx="8">
                  <c:v>1.4000000000000004</c:v>
                </c:pt>
                <c:pt idx="9">
                  <c:v>1.4500000000000004</c:v>
                </c:pt>
                <c:pt idx="10">
                  <c:v>1.5000000000000004</c:v>
                </c:pt>
                <c:pt idx="11">
                  <c:v>1.5500000000000005</c:v>
                </c:pt>
                <c:pt idx="12">
                  <c:v>1.6000000000000005</c:v>
                </c:pt>
                <c:pt idx="13">
                  <c:v>1.6500000000000006</c:v>
                </c:pt>
                <c:pt idx="14">
                  <c:v>1.7000000000000006</c:v>
                </c:pt>
                <c:pt idx="15">
                  <c:v>1.7500000000000007</c:v>
                </c:pt>
                <c:pt idx="16">
                  <c:v>1.8000000000000007</c:v>
                </c:pt>
                <c:pt idx="17">
                  <c:v>1.8500000000000008</c:v>
                </c:pt>
                <c:pt idx="18">
                  <c:v>1.9000000000000008</c:v>
                </c:pt>
                <c:pt idx="19">
                  <c:v>1.9500000000000008</c:v>
                </c:pt>
                <c:pt idx="20">
                  <c:v>2.0000000000000009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0.19805638768652956</c:v>
                </c:pt>
                <c:pt idx="2">
                  <c:v>0.18518257092594331</c:v>
                </c:pt>
                <c:pt idx="3">
                  <c:v>0.17230875416535707</c:v>
                </c:pt>
                <c:pt idx="4">
                  <c:v>0.15943493740477083</c:v>
                </c:pt>
                <c:pt idx="5">
                  <c:v>0.14656112064418458</c:v>
                </c:pt>
                <c:pt idx="6">
                  <c:v>0.1359825527955599</c:v>
                </c:pt>
                <c:pt idx="7">
                  <c:v>0.1277895591520179</c:v>
                </c:pt>
                <c:pt idx="8">
                  <c:v>0.12</c:v>
                </c:pt>
                <c:pt idx="9">
                  <c:v>0.12</c:v>
                </c:pt>
                <c:pt idx="10">
                  <c:v>0.12000000000000001</c:v>
                </c:pt>
                <c:pt idx="11">
                  <c:v>0.12436879569786477</c:v>
                </c:pt>
                <c:pt idx="12">
                  <c:v>0.13057165286683822</c:v>
                </c:pt>
                <c:pt idx="13">
                  <c:v>0.13677451003581165</c:v>
                </c:pt>
                <c:pt idx="14">
                  <c:v>0.1429773672047851</c:v>
                </c:pt>
                <c:pt idx="15">
                  <c:v>0.14918022437375855</c:v>
                </c:pt>
                <c:pt idx="16">
                  <c:v>0.155383081542732</c:v>
                </c:pt>
                <c:pt idx="17">
                  <c:v>0.16158593871170546</c:v>
                </c:pt>
                <c:pt idx="18">
                  <c:v>0.16778879588067883</c:v>
                </c:pt>
                <c:pt idx="19">
                  <c:v>0.17399165304965231</c:v>
                </c:pt>
                <c:pt idx="20">
                  <c:v>0.1801945102186257</c:v>
                </c:pt>
              </c:numCache>
            </c:numRef>
          </c:yVal>
          <c:smooth val="1"/>
        </c:ser>
        <c:axId val="118206848"/>
        <c:axId val="117319936"/>
      </c:scatterChart>
      <c:valAx>
        <c:axId val="118206848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117319936"/>
        <c:crosses val="autoZero"/>
        <c:crossBetween val="midCat"/>
      </c:valAx>
      <c:valAx>
        <c:axId val="117319936"/>
        <c:scaling>
          <c:orientation val="minMax"/>
          <c:max val="0.25"/>
          <c:min val="8.0000000000000016E-2"/>
        </c:scaling>
        <c:axPos val="l"/>
        <c:majorGridlines/>
        <c:numFmt formatCode="0.00%" sourceLinked="1"/>
        <c:tickLblPos val="nextTo"/>
        <c:crossAx val="118206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0</xdr:row>
      <xdr:rowOff>171450</xdr:rowOff>
    </xdr:from>
    <xdr:to>
      <xdr:col>8</xdr:col>
      <xdr:colOff>400050</xdr:colOff>
      <xdr:row>14</xdr:row>
      <xdr:rowOff>53340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zoomScale="200" zoomScaleNormal="200" workbookViewId="0">
      <selection activeCell="D4" sqref="D4"/>
    </sheetView>
  </sheetViews>
  <sheetFormatPr baseColWidth="10" defaultRowHeight="14.4"/>
  <cols>
    <col min="3" max="3" width="6.5546875" bestFit="1" customWidth="1"/>
    <col min="4" max="4" width="7.109375" bestFit="1" customWidth="1"/>
    <col min="5" max="5" width="7.554687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BSDelta($C$2,D4,$I$6,C4,-1)*I13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tabSelected="1" zoomScale="200" zoomScaleNormal="200" workbookViewId="0">
      <selection activeCell="D8" sqref="D8"/>
    </sheetView>
  </sheetViews>
  <sheetFormatPr baseColWidth="10" defaultRowHeight="14.4"/>
  <cols>
    <col min="5" max="5" width="9.21875" bestFit="1" customWidth="1"/>
    <col min="6" max="7" width="8.6640625" bestFit="1" customWidth="1"/>
    <col min="8" max="9" width="8.21875" bestFit="1" customWidth="1"/>
    <col min="10" max="10" width="7.21875" bestFit="1" customWidth="1"/>
  </cols>
  <sheetData>
    <row r="2" spans="1:10" ht="1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/>
      <c r="D3" s="1"/>
      <c r="E3" s="6"/>
      <c r="F3" s="7"/>
      <c r="G3" s="7"/>
      <c r="H3" s="7"/>
      <c r="I3" s="8"/>
      <c r="J3" s="15"/>
    </row>
    <row r="4" spans="1:10">
      <c r="A4" s="4">
        <f>'Smile FX'!D5</f>
        <v>1.2754824220594463</v>
      </c>
      <c r="B4" s="1">
        <f>'Smile FX'!C5</f>
        <v>0.14000000000000001</v>
      </c>
      <c r="C4" s="4"/>
      <c r="D4" s="1"/>
      <c r="E4" s="9"/>
      <c r="F4" s="10"/>
      <c r="G4" s="10"/>
      <c r="H4" s="10"/>
      <c r="I4" s="11"/>
      <c r="J4" s="16"/>
    </row>
    <row r="5" spans="1:10">
      <c r="A5" s="4">
        <f>'Smile FX'!D6</f>
        <v>1.3975379299125779</v>
      </c>
      <c r="B5" s="1">
        <f>'Smile FX'!C6</f>
        <v>0.12</v>
      </c>
      <c r="C5" s="4"/>
      <c r="D5" s="1"/>
      <c r="E5" s="9"/>
      <c r="F5" s="10"/>
      <c r="G5" s="10"/>
      <c r="H5" s="10"/>
      <c r="I5" s="11"/>
      <c r="J5" s="16"/>
    </row>
    <row r="6" spans="1:10">
      <c r="A6" s="4">
        <f>'Smile FX'!D7</f>
        <v>1.5147840053474282</v>
      </c>
      <c r="B6" s="1">
        <f>'Smile FX'!C7</f>
        <v>0.12000000000000001</v>
      </c>
      <c r="C6" s="4"/>
      <c r="D6" s="1"/>
      <c r="E6" s="9"/>
      <c r="F6" s="10"/>
      <c r="G6" s="10"/>
      <c r="H6" s="10"/>
      <c r="I6" s="11"/>
      <c r="J6" s="16"/>
    </row>
    <row r="7" spans="1:10" ht="1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2"/>
      <c r="F7" s="13"/>
      <c r="G7" s="13"/>
      <c r="H7" s="13"/>
      <c r="I7" s="14"/>
      <c r="J7" s="17"/>
    </row>
    <row r="9" spans="1:10">
      <c r="E9" s="2" t="s">
        <v>23</v>
      </c>
      <c r="F9" s="2" t="s">
        <v>24</v>
      </c>
      <c r="G9" s="2" t="s">
        <v>25</v>
      </c>
    </row>
    <row r="10" spans="1:10">
      <c r="E10" s="5"/>
      <c r="F10" s="3"/>
      <c r="G10" s="3"/>
    </row>
    <row r="11" spans="1:10">
      <c r="E11" s="5"/>
      <c r="F11" s="3"/>
      <c r="G11" s="3"/>
    </row>
    <row r="12" spans="1:10">
      <c r="E12" s="5"/>
      <c r="F12" s="3"/>
      <c r="G12" s="3"/>
    </row>
    <row r="13" spans="1:10">
      <c r="E13" s="5"/>
      <c r="F13" s="3"/>
      <c r="G13" s="3"/>
    </row>
    <row r="14" spans="1:10">
      <c r="E14" s="5"/>
      <c r="F14" s="3"/>
      <c r="G14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C23"/>
  <sheetViews>
    <sheetView zoomScale="200" zoomScaleNormal="200" workbookViewId="0">
      <selection activeCell="C7" sqref="C7"/>
    </sheetView>
  </sheetViews>
  <sheetFormatPr baseColWidth="10" defaultRowHeight="14.4"/>
  <sheetData>
    <row r="1" spans="2:3">
      <c r="B1">
        <v>0.05</v>
      </c>
    </row>
    <row r="2" spans="2:3">
      <c r="B2" t="s">
        <v>18</v>
      </c>
      <c r="C2" t="s">
        <v>20</v>
      </c>
    </row>
    <row r="3" spans="2:3">
      <c r="B3">
        <v>1</v>
      </c>
      <c r="C3" s="5">
        <f>Spline(B3,Ks,Vols,coeffa,coeffb)</f>
        <v>0.2109302044471158</v>
      </c>
    </row>
    <row r="4" spans="2:3">
      <c r="B4">
        <f>B3+$B$1</f>
        <v>1.05</v>
      </c>
      <c r="C4" s="5">
        <f>Spline(B4,Ks,Vols,coeffa,coeffb)</f>
        <v>0.19805638768652956</v>
      </c>
    </row>
    <row r="5" spans="2:3">
      <c r="B5">
        <f t="shared" ref="B5:B29" si="0">B4+$B$1</f>
        <v>1.1000000000000001</v>
      </c>
      <c r="C5" s="5">
        <f>Spline(B5,Ks,Vols,coeffa,coeffb)</f>
        <v>0.18518257092594331</v>
      </c>
    </row>
    <row r="6" spans="2:3">
      <c r="B6">
        <f t="shared" si="0"/>
        <v>1.1500000000000001</v>
      </c>
      <c r="C6" s="5">
        <f>Spline(B6,Ks,Vols,coeffa,coeffb)</f>
        <v>0.17230875416535707</v>
      </c>
    </row>
    <row r="7" spans="2:3">
      <c r="B7">
        <f t="shared" si="0"/>
        <v>1.2000000000000002</v>
      </c>
      <c r="C7" s="5">
        <f>Spline(B7,Ks,Vols,coeffa,coeffb)</f>
        <v>0.15943493740477083</v>
      </c>
    </row>
    <row r="8" spans="2:3">
      <c r="B8">
        <f t="shared" si="0"/>
        <v>1.2500000000000002</v>
      </c>
      <c r="C8" s="5">
        <f>Spline(B8,Ks,Vols,coeffa,coeffb)</f>
        <v>0.14656112064418458</v>
      </c>
    </row>
    <row r="9" spans="2:3">
      <c r="B9">
        <f t="shared" si="0"/>
        <v>1.3000000000000003</v>
      </c>
      <c r="C9" s="5">
        <f>Spline(B9,Ks,Vols,coeffa,coeffb)</f>
        <v>0.1359825527955599</v>
      </c>
    </row>
    <row r="10" spans="2:3">
      <c r="B10">
        <f t="shared" si="0"/>
        <v>1.3500000000000003</v>
      </c>
      <c r="C10" s="5">
        <f>Spline(B10,Ks,Vols,coeffa,coeffb)</f>
        <v>0.1277895591520179</v>
      </c>
    </row>
    <row r="11" spans="2:3">
      <c r="B11">
        <f t="shared" si="0"/>
        <v>1.4000000000000004</v>
      </c>
      <c r="C11" s="5">
        <f>Spline(B11,Ks,Vols,coeffa,coeffb)</f>
        <v>0.12</v>
      </c>
    </row>
    <row r="12" spans="2:3">
      <c r="B12">
        <f t="shared" si="0"/>
        <v>1.4500000000000004</v>
      </c>
      <c r="C12" s="5">
        <f>Spline(B12,Ks,Vols,coeffa,coeffb)</f>
        <v>0.12</v>
      </c>
    </row>
    <row r="13" spans="2:3">
      <c r="B13">
        <f t="shared" si="0"/>
        <v>1.5000000000000004</v>
      </c>
      <c r="C13" s="5">
        <f>Spline(B13,Ks,Vols,coeffa,coeffb)</f>
        <v>0.12000000000000001</v>
      </c>
    </row>
    <row r="14" spans="2:3">
      <c r="B14">
        <f t="shared" si="0"/>
        <v>1.5500000000000005</v>
      </c>
      <c r="C14" s="5">
        <f>Spline(B14,Ks,Vols,coeffa,coeffb)</f>
        <v>0.12436879569786477</v>
      </c>
    </row>
    <row r="15" spans="2:3">
      <c r="B15">
        <f t="shared" si="0"/>
        <v>1.6000000000000005</v>
      </c>
      <c r="C15" s="5">
        <f>Spline(B15,Ks,Vols,coeffa,coeffb)</f>
        <v>0.13057165286683822</v>
      </c>
    </row>
    <row r="16" spans="2:3">
      <c r="B16">
        <f t="shared" si="0"/>
        <v>1.6500000000000006</v>
      </c>
      <c r="C16" s="5">
        <f>Spline(B16,Ks,Vols,coeffa,coeffb)</f>
        <v>0.13677451003581165</v>
      </c>
    </row>
    <row r="17" spans="2:3">
      <c r="B17">
        <f t="shared" si="0"/>
        <v>1.7000000000000006</v>
      </c>
      <c r="C17" s="5">
        <f>Spline(B17,Ks,Vols,coeffa,coeffb)</f>
        <v>0.1429773672047851</v>
      </c>
    </row>
    <row r="18" spans="2:3">
      <c r="B18">
        <f t="shared" si="0"/>
        <v>1.7500000000000007</v>
      </c>
      <c r="C18" s="5">
        <f>Spline(B18,Ks,Vols,coeffa,coeffb)</f>
        <v>0.14918022437375855</v>
      </c>
    </row>
    <row r="19" spans="2:3">
      <c r="B19">
        <f t="shared" si="0"/>
        <v>1.8000000000000007</v>
      </c>
      <c r="C19" s="5">
        <f>Spline(B19,Ks,Vols,coeffa,coeffb)</f>
        <v>0.155383081542732</v>
      </c>
    </row>
    <row r="20" spans="2:3">
      <c r="B20">
        <f t="shared" si="0"/>
        <v>1.8500000000000008</v>
      </c>
      <c r="C20" s="5">
        <f>Spline(B20,Ks,Vols,coeffa,coeffb)</f>
        <v>0.16158593871170546</v>
      </c>
    </row>
    <row r="21" spans="2:3">
      <c r="B21">
        <f t="shared" si="0"/>
        <v>1.9000000000000008</v>
      </c>
      <c r="C21" s="5">
        <f>Spline(B21,Ks,Vols,coeffa,coeffb)</f>
        <v>0.16778879588067883</v>
      </c>
    </row>
    <row r="22" spans="2:3">
      <c r="B22">
        <f t="shared" si="0"/>
        <v>1.9500000000000008</v>
      </c>
      <c r="C22" s="5">
        <f>Spline(B22,Ks,Vols,coeffa,coeffb)</f>
        <v>0.17399165304965231</v>
      </c>
    </row>
    <row r="23" spans="2:3">
      <c r="B23">
        <f t="shared" si="0"/>
        <v>2.0000000000000009</v>
      </c>
      <c r="C23" s="5">
        <f>Spline(B23,Ks,Vols,coeffa,coeffb)</f>
        <v>0.1801945102186257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Smile FX</vt:lpstr>
      <vt:lpstr>Spline</vt:lpstr>
      <vt:lpstr>View</vt:lpstr>
      <vt:lpstr>coeffa</vt:lpstr>
      <vt:lpstr>coeffb</vt:lpstr>
      <vt:lpstr>Ks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2014-04-09T16:53:54Z</dcterms:modified>
</cp:coreProperties>
</file>