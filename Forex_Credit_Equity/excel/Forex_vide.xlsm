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96" windowWidth="12504" windowHeight="9564" activeTab="1"/>
  </bookViews>
  <sheets>
    <sheet name="Smile FX" sheetId="1" r:id="rId1"/>
    <sheet name="Spline" sheetId="2" r:id="rId2"/>
    <sheet name="View" sheetId="3" r:id="rId3"/>
  </sheets>
  <functionGroups/>
  <definedNames>
    <definedName name="coeffa">Spline!$F$10:$F$13</definedName>
    <definedName name="coeffb">Spline!$G$10:$G$13</definedName>
    <definedName name="Ks">Spline!$A$3:$A$7</definedName>
    <definedName name="Vols">Spline!$B$3:$B$7</definedName>
  </definedNames>
  <calcPr calcId="124519"/>
</workbook>
</file>

<file path=xl/calcChain.xml><?xml version="1.0" encoding="utf-8"?>
<calcChain xmlns="http://schemas.openxmlformats.org/spreadsheetml/2006/main">
  <c r="B1" i="3"/>
  <c r="B4" s="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4"/>
  <c r="B5" l="1"/>
  <c r="A5" i="2"/>
  <c r="B5"/>
  <c r="D6" i="1"/>
  <c r="E6"/>
  <c r="B6" i="3" l="1"/>
  <c r="B7" s="1"/>
  <c r="F6" i="1"/>
  <c r="C8"/>
  <c r="C4"/>
  <c r="C7"/>
  <c r="C5"/>
  <c r="C6"/>
  <c r="I14"/>
  <c r="I13"/>
  <c r="B8" i="3" l="1"/>
  <c r="B7" i="2"/>
  <c r="F8" i="1"/>
  <c r="D8" s="1"/>
  <c r="B3" i="2"/>
  <c r="F4" i="1"/>
  <c r="D4" s="1"/>
  <c r="A3" i="2" s="1"/>
  <c r="B6"/>
  <c r="F7" i="1"/>
  <c r="D7" s="1"/>
  <c r="B4" i="2"/>
  <c r="F5" i="1"/>
  <c r="D5" s="1"/>
  <c r="C2"/>
  <c r="E7"/>
  <c r="E8"/>
  <c r="E4"/>
  <c r="E5"/>
  <c r="B9" i="3" l="1"/>
  <c r="A7" i="2"/>
  <c r="A4"/>
  <c r="A6"/>
  <c r="B10" i="3" l="1"/>
  <c r="B11" l="1"/>
  <c r="B12" l="1"/>
  <c r="B13" l="1"/>
  <c r="B14" l="1"/>
  <c r="C14"/>
  <c r="C8"/>
  <c r="C5"/>
  <c r="C6"/>
  <c r="C7"/>
  <c r="C10"/>
  <c r="C13"/>
  <c r="C11"/>
  <c r="C3"/>
  <c r="C9"/>
  <c r="C12"/>
  <c r="C4"/>
  <c r="B15" l="1"/>
  <c r="C15"/>
  <c r="B16" l="1"/>
  <c r="C16"/>
  <c r="B17" l="1"/>
  <c r="C17"/>
  <c r="B18" l="1"/>
  <c r="C18"/>
  <c r="B19" l="1"/>
  <c r="C19"/>
  <c r="B20" l="1"/>
  <c r="C20"/>
  <c r="B21" l="1"/>
  <c r="C21"/>
  <c r="B22" l="1"/>
  <c r="C22"/>
  <c r="B23" l="1"/>
  <c r="C23"/>
</calcChain>
</file>

<file path=xl/sharedStrings.xml><?xml version="1.0" encoding="utf-8"?>
<sst xmlns="http://schemas.openxmlformats.org/spreadsheetml/2006/main" count="30" uniqueCount="26">
  <si>
    <t>EURUSD</t>
  </si>
  <si>
    <t>rUSD</t>
  </si>
  <si>
    <t>rEUR</t>
  </si>
  <si>
    <t>m</t>
  </si>
  <si>
    <t>T</t>
  </si>
  <si>
    <t>RR25</t>
  </si>
  <si>
    <t>ATM</t>
  </si>
  <si>
    <t>RR10</t>
  </si>
  <si>
    <t>BF25</t>
  </si>
  <si>
    <t>BF10</t>
  </si>
  <si>
    <t>DFEUR</t>
  </si>
  <si>
    <t>DFUSD</t>
  </si>
  <si>
    <t>Fwd</t>
  </si>
  <si>
    <t>10DeltaPut</t>
  </si>
  <si>
    <t>25DeltaPut</t>
  </si>
  <si>
    <t>25DeltaCall</t>
  </si>
  <si>
    <t>10DeltaCall</t>
  </si>
  <si>
    <t>Vol</t>
  </si>
  <si>
    <t>K</t>
  </si>
  <si>
    <t>Delta</t>
  </si>
  <si>
    <t>Vols</t>
  </si>
  <si>
    <t>Deltax</t>
  </si>
  <si>
    <t>Deltay</t>
  </si>
  <si>
    <t>k</t>
  </si>
  <si>
    <t>a</t>
  </si>
  <si>
    <t>b</t>
  </si>
</sst>
</file>

<file path=xl/styles.xml><?xml version="1.0" encoding="utf-8"?>
<styleSheet xmlns="http://schemas.openxmlformats.org/spreadsheetml/2006/main">
  <numFmts count="2">
    <numFmt numFmtId="43" formatCode="_-* #,##0.00\ _€_-;\-* #,##0.00\ _€_-;_-* &quot;-&quot;??\ _€_-;_-@_-"/>
    <numFmt numFmtId="164" formatCode="0.0000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9" fontId="0" fillId="0" borderId="0" xfId="0" applyNumberFormat="1"/>
    <xf numFmtId="0" fontId="2" fillId="0" borderId="0" xfId="0" applyFont="1"/>
    <xf numFmtId="10" fontId="0" fillId="0" borderId="0" xfId="0" applyNumberFormat="1"/>
    <xf numFmtId="164" fontId="0" fillId="0" borderId="0" xfId="0" applyNumberFormat="1"/>
    <xf numFmtId="10" fontId="0" fillId="0" borderId="0" xfId="2" applyNumberFormat="1" applyFont="1"/>
    <xf numFmtId="43" fontId="0" fillId="0" borderId="1" xfId="1" applyFont="1" applyBorder="1"/>
    <xf numFmtId="43" fontId="0" fillId="0" borderId="2" xfId="1" applyFont="1" applyBorder="1"/>
    <xf numFmtId="43" fontId="0" fillId="0" borderId="3" xfId="1" applyFont="1" applyBorder="1"/>
    <xf numFmtId="43" fontId="0" fillId="0" borderId="4" xfId="1" applyFont="1" applyBorder="1"/>
    <xf numFmtId="43" fontId="0" fillId="0" borderId="0" xfId="1" applyFont="1" applyBorder="1"/>
    <xf numFmtId="43" fontId="0" fillId="0" borderId="5" xfId="1" applyFont="1" applyBorder="1"/>
    <xf numFmtId="43" fontId="0" fillId="0" borderId="6" xfId="1" applyFont="1" applyBorder="1"/>
    <xf numFmtId="43" fontId="0" fillId="0" borderId="7" xfId="1" applyFont="1" applyBorder="1"/>
    <xf numFmtId="43" fontId="0" fillId="0" borderId="8" xfId="1" applyFont="1" applyBorder="1"/>
    <xf numFmtId="43" fontId="0" fillId="0" borderId="9" xfId="1" applyFont="1" applyBorder="1"/>
    <xf numFmtId="43" fontId="0" fillId="0" borderId="10" xfId="1" applyFont="1" applyBorder="1"/>
    <xf numFmtId="43" fontId="0" fillId="0" borderId="11" xfId="1" applyFont="1" applyBorder="1"/>
    <xf numFmtId="43" fontId="0" fillId="0" borderId="0" xfId="1" applyFont="1"/>
    <xf numFmtId="10" fontId="0" fillId="0" borderId="12" xfId="2" applyNumberFormat="1" applyFont="1" applyBorder="1"/>
    <xf numFmtId="10" fontId="0" fillId="0" borderId="12" xfId="0" applyNumberFormat="1" applyBorder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View!$C$2</c:f>
              <c:strCache>
                <c:ptCount val="1"/>
                <c:pt idx="0">
                  <c:v>Vols</c:v>
                </c:pt>
              </c:strCache>
            </c:strRef>
          </c:tx>
          <c:marker>
            <c:symbol val="none"/>
          </c:marker>
          <c:xVal>
            <c:numRef>
              <c:f>View!$B$3:$B$23</c:f>
              <c:numCache>
                <c:formatCode>General</c:formatCode>
                <c:ptCount val="21"/>
                <c:pt idx="0">
                  <c:v>1</c:v>
                </c:pt>
                <c:pt idx="1">
                  <c:v>1.03</c:v>
                </c:pt>
                <c:pt idx="2">
                  <c:v>1.06</c:v>
                </c:pt>
                <c:pt idx="3">
                  <c:v>1.0900000000000001</c:v>
                </c:pt>
                <c:pt idx="4">
                  <c:v>1.1200000000000001</c:v>
                </c:pt>
                <c:pt idx="5">
                  <c:v>1.1500000000000001</c:v>
                </c:pt>
                <c:pt idx="6">
                  <c:v>1.1800000000000002</c:v>
                </c:pt>
                <c:pt idx="7">
                  <c:v>1.2100000000000002</c:v>
                </c:pt>
                <c:pt idx="8">
                  <c:v>1.2400000000000002</c:v>
                </c:pt>
                <c:pt idx="9">
                  <c:v>1.2700000000000002</c:v>
                </c:pt>
                <c:pt idx="10">
                  <c:v>1.3000000000000003</c:v>
                </c:pt>
                <c:pt idx="11">
                  <c:v>1.3300000000000003</c:v>
                </c:pt>
                <c:pt idx="12">
                  <c:v>1.3600000000000003</c:v>
                </c:pt>
                <c:pt idx="13">
                  <c:v>1.3900000000000003</c:v>
                </c:pt>
                <c:pt idx="14">
                  <c:v>1.4200000000000004</c:v>
                </c:pt>
                <c:pt idx="15">
                  <c:v>1.4500000000000004</c:v>
                </c:pt>
                <c:pt idx="16">
                  <c:v>1.4800000000000004</c:v>
                </c:pt>
                <c:pt idx="17">
                  <c:v>1.5100000000000005</c:v>
                </c:pt>
                <c:pt idx="18">
                  <c:v>1.5400000000000005</c:v>
                </c:pt>
                <c:pt idx="19">
                  <c:v>1.5700000000000005</c:v>
                </c:pt>
                <c:pt idx="20">
                  <c:v>1.6000000000000005</c:v>
                </c:pt>
              </c:numCache>
            </c:numRef>
          </c:xVal>
          <c:yVal>
            <c:numRef>
              <c:f>View!$C$3:$C$23</c:f>
              <c:numCache>
                <c:formatCode>0.00%</c:formatCode>
                <c:ptCount val="21"/>
                <c:pt idx="0">
                  <c:v>0.2109302044471158</c:v>
                </c:pt>
                <c:pt idx="1">
                  <c:v>0.20320591439076402</c:v>
                </c:pt>
                <c:pt idx="2">
                  <c:v>0.1954816243344123</c:v>
                </c:pt>
                <c:pt idx="3">
                  <c:v>0.18775733427806054</c:v>
                </c:pt>
                <c:pt idx="4">
                  <c:v>0.18003304422170882</c:v>
                </c:pt>
                <c:pt idx="5">
                  <c:v>0.17230875416535707</c:v>
                </c:pt>
                <c:pt idx="6">
                  <c:v>0.16458446410900535</c:v>
                </c:pt>
                <c:pt idx="7">
                  <c:v>0.15686017405265357</c:v>
                </c:pt>
                <c:pt idx="8">
                  <c:v>0.14913588399630184</c:v>
                </c:pt>
                <c:pt idx="9">
                  <c:v>0.14141159393995009</c:v>
                </c:pt>
                <c:pt idx="10">
                  <c:v>0.1359825527955599</c:v>
                </c:pt>
                <c:pt idx="11">
                  <c:v>0.1310667566094347</c:v>
                </c:pt>
                <c:pt idx="12">
                  <c:v>0.12615096042330948</c:v>
                </c:pt>
                <c:pt idx="13">
                  <c:v>0.12123516423718425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0.12000000000000001</c:v>
                </c:pt>
                <c:pt idx="18">
                  <c:v>0.12312822426407008</c:v>
                </c:pt>
                <c:pt idx="19">
                  <c:v>0.12684993856545415</c:v>
                </c:pt>
                <c:pt idx="20">
                  <c:v>0.13057165286683822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View!$D$2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View!$B$3:$B$23</c:f>
              <c:numCache>
                <c:formatCode>General</c:formatCode>
                <c:ptCount val="21"/>
                <c:pt idx="0">
                  <c:v>1</c:v>
                </c:pt>
                <c:pt idx="1">
                  <c:v>1.03</c:v>
                </c:pt>
                <c:pt idx="2">
                  <c:v>1.06</c:v>
                </c:pt>
                <c:pt idx="3">
                  <c:v>1.0900000000000001</c:v>
                </c:pt>
                <c:pt idx="4">
                  <c:v>1.1200000000000001</c:v>
                </c:pt>
                <c:pt idx="5">
                  <c:v>1.1500000000000001</c:v>
                </c:pt>
                <c:pt idx="6">
                  <c:v>1.1800000000000002</c:v>
                </c:pt>
                <c:pt idx="7">
                  <c:v>1.2100000000000002</c:v>
                </c:pt>
                <c:pt idx="8">
                  <c:v>1.2400000000000002</c:v>
                </c:pt>
                <c:pt idx="9">
                  <c:v>1.2700000000000002</c:v>
                </c:pt>
                <c:pt idx="10">
                  <c:v>1.3000000000000003</c:v>
                </c:pt>
                <c:pt idx="11">
                  <c:v>1.3300000000000003</c:v>
                </c:pt>
                <c:pt idx="12">
                  <c:v>1.3600000000000003</c:v>
                </c:pt>
                <c:pt idx="13">
                  <c:v>1.3900000000000003</c:v>
                </c:pt>
                <c:pt idx="14">
                  <c:v>1.4200000000000004</c:v>
                </c:pt>
                <c:pt idx="15">
                  <c:v>1.4500000000000004</c:v>
                </c:pt>
                <c:pt idx="16">
                  <c:v>1.4800000000000004</c:v>
                </c:pt>
                <c:pt idx="17">
                  <c:v>1.5100000000000005</c:v>
                </c:pt>
                <c:pt idx="18">
                  <c:v>1.5400000000000005</c:v>
                </c:pt>
                <c:pt idx="19">
                  <c:v>1.5700000000000005</c:v>
                </c:pt>
                <c:pt idx="20">
                  <c:v>1.6000000000000005</c:v>
                </c:pt>
              </c:numCache>
            </c:numRef>
          </c:xVal>
          <c:yVal>
            <c:numRef>
              <c:f>View!$D$3:$D$23</c:f>
              <c:numCache>
                <c:formatCode>0.00%</c:formatCode>
                <c:ptCount val="21"/>
              </c:numCache>
            </c:numRef>
          </c:yVal>
          <c:smooth val="1"/>
        </c:ser>
        <c:axId val="81343616"/>
        <c:axId val="81345152"/>
      </c:scatterChart>
      <c:valAx>
        <c:axId val="81343616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81345152"/>
        <c:crosses val="autoZero"/>
        <c:crossBetween val="midCat"/>
      </c:valAx>
      <c:valAx>
        <c:axId val="81345152"/>
        <c:scaling>
          <c:orientation val="minMax"/>
          <c:max val="0.25"/>
          <c:min val="8.0000000000000043E-2"/>
        </c:scaling>
        <c:axPos val="l"/>
        <c:majorGridlines/>
        <c:numFmt formatCode="0.00%" sourceLinked="1"/>
        <c:tickLblPos val="nextTo"/>
        <c:crossAx val="813436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View!$C$2</c:f>
              <c:strCache>
                <c:ptCount val="1"/>
                <c:pt idx="0">
                  <c:v>Vols</c:v>
                </c:pt>
              </c:strCache>
            </c:strRef>
          </c:tx>
          <c:marker>
            <c:symbol val="none"/>
          </c:marker>
          <c:xVal>
            <c:numRef>
              <c:f>View!$B$3:$B$23</c:f>
              <c:numCache>
                <c:formatCode>General</c:formatCode>
                <c:ptCount val="21"/>
                <c:pt idx="0">
                  <c:v>1</c:v>
                </c:pt>
                <c:pt idx="1">
                  <c:v>1.03</c:v>
                </c:pt>
                <c:pt idx="2">
                  <c:v>1.06</c:v>
                </c:pt>
                <c:pt idx="3">
                  <c:v>1.0900000000000001</c:v>
                </c:pt>
                <c:pt idx="4">
                  <c:v>1.1200000000000001</c:v>
                </c:pt>
                <c:pt idx="5">
                  <c:v>1.1500000000000001</c:v>
                </c:pt>
                <c:pt idx="6">
                  <c:v>1.1800000000000002</c:v>
                </c:pt>
                <c:pt idx="7">
                  <c:v>1.2100000000000002</c:v>
                </c:pt>
                <c:pt idx="8">
                  <c:v>1.2400000000000002</c:v>
                </c:pt>
                <c:pt idx="9">
                  <c:v>1.2700000000000002</c:v>
                </c:pt>
                <c:pt idx="10">
                  <c:v>1.3000000000000003</c:v>
                </c:pt>
                <c:pt idx="11">
                  <c:v>1.3300000000000003</c:v>
                </c:pt>
                <c:pt idx="12">
                  <c:v>1.3600000000000003</c:v>
                </c:pt>
                <c:pt idx="13">
                  <c:v>1.3900000000000003</c:v>
                </c:pt>
                <c:pt idx="14">
                  <c:v>1.4200000000000004</c:v>
                </c:pt>
                <c:pt idx="15">
                  <c:v>1.4500000000000004</c:v>
                </c:pt>
                <c:pt idx="16">
                  <c:v>1.4800000000000004</c:v>
                </c:pt>
                <c:pt idx="17">
                  <c:v>1.5100000000000005</c:v>
                </c:pt>
                <c:pt idx="18">
                  <c:v>1.5400000000000005</c:v>
                </c:pt>
                <c:pt idx="19">
                  <c:v>1.5700000000000005</c:v>
                </c:pt>
                <c:pt idx="20">
                  <c:v>1.6000000000000005</c:v>
                </c:pt>
              </c:numCache>
            </c:numRef>
          </c:xVal>
          <c:yVal>
            <c:numRef>
              <c:f>View!$C$3:$C$23</c:f>
              <c:numCache>
                <c:formatCode>0.00%</c:formatCode>
                <c:ptCount val="21"/>
                <c:pt idx="0">
                  <c:v>0.2109302044471158</c:v>
                </c:pt>
                <c:pt idx="1">
                  <c:v>0.20320591439076402</c:v>
                </c:pt>
                <c:pt idx="2">
                  <c:v>0.1954816243344123</c:v>
                </c:pt>
                <c:pt idx="3">
                  <c:v>0.18775733427806054</c:v>
                </c:pt>
                <c:pt idx="4">
                  <c:v>0.18003304422170882</c:v>
                </c:pt>
                <c:pt idx="5">
                  <c:v>0.17230875416535707</c:v>
                </c:pt>
                <c:pt idx="6">
                  <c:v>0.16458446410900535</c:v>
                </c:pt>
                <c:pt idx="7">
                  <c:v>0.15686017405265357</c:v>
                </c:pt>
                <c:pt idx="8">
                  <c:v>0.14913588399630184</c:v>
                </c:pt>
                <c:pt idx="9">
                  <c:v>0.14141159393995009</c:v>
                </c:pt>
                <c:pt idx="10">
                  <c:v>0.1359825527955599</c:v>
                </c:pt>
                <c:pt idx="11">
                  <c:v>0.1310667566094347</c:v>
                </c:pt>
                <c:pt idx="12">
                  <c:v>0.12615096042330948</c:v>
                </c:pt>
                <c:pt idx="13">
                  <c:v>0.12123516423718425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0.12000000000000001</c:v>
                </c:pt>
                <c:pt idx="18">
                  <c:v>0.12312822426407008</c:v>
                </c:pt>
                <c:pt idx="19">
                  <c:v>0.12684993856545415</c:v>
                </c:pt>
                <c:pt idx="20">
                  <c:v>0.13057165286683822</c:v>
                </c:pt>
              </c:numCache>
            </c:numRef>
          </c:yVal>
          <c:smooth val="1"/>
        </c:ser>
        <c:axId val="81373056"/>
        <c:axId val="81374592"/>
      </c:scatterChart>
      <c:valAx>
        <c:axId val="81373056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81374592"/>
        <c:crosses val="autoZero"/>
        <c:crossBetween val="midCat"/>
      </c:valAx>
      <c:valAx>
        <c:axId val="81374592"/>
        <c:scaling>
          <c:orientation val="minMax"/>
        </c:scaling>
        <c:axPos val="l"/>
        <c:majorGridlines/>
        <c:numFmt formatCode="0.00%" sourceLinked="1"/>
        <c:tickLblPos val="nextTo"/>
        <c:crossAx val="81373056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53340</xdr:colOff>
      <xdr:row>1</xdr:row>
      <xdr:rowOff>87630</xdr:rowOff>
    </xdr:from>
    <xdr:to>
      <xdr:col>41</xdr:col>
      <xdr:colOff>666750</xdr:colOff>
      <xdr:row>14</xdr:row>
      <xdr:rowOff>152400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1</xdr:row>
      <xdr:rowOff>99060</xdr:rowOff>
    </xdr:from>
    <xdr:to>
      <xdr:col>8</xdr:col>
      <xdr:colOff>342900</xdr:colOff>
      <xdr:row>13</xdr:row>
      <xdr:rowOff>49530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I14"/>
  <sheetViews>
    <sheetView zoomScale="200" zoomScaleNormal="200" workbookViewId="0">
      <selection activeCell="I12" sqref="I12"/>
    </sheetView>
  </sheetViews>
  <sheetFormatPr baseColWidth="10" defaultRowHeight="14.4"/>
  <cols>
    <col min="3" max="3" width="6.5546875" bestFit="1" customWidth="1"/>
    <col min="4" max="4" width="7.109375" bestFit="1" customWidth="1"/>
    <col min="5" max="5" width="7.5546875" bestFit="1" customWidth="1"/>
  </cols>
  <sheetData>
    <row r="2" spans="1:9">
      <c r="B2" s="2" t="s">
        <v>12</v>
      </c>
      <c r="C2" s="4">
        <f>I2*I13/I14</f>
        <v>1.3875117942185744</v>
      </c>
      <c r="H2" s="2" t="s">
        <v>0</v>
      </c>
      <c r="I2">
        <v>1.3889</v>
      </c>
    </row>
    <row r="3" spans="1:9">
      <c r="C3" s="2" t="s">
        <v>17</v>
      </c>
      <c r="D3" s="2" t="s">
        <v>18</v>
      </c>
      <c r="E3" s="2" t="s">
        <v>19</v>
      </c>
      <c r="H3" s="2" t="s">
        <v>1</v>
      </c>
      <c r="I3" s="3">
        <v>3.0000000000000001E-3</v>
      </c>
    </row>
    <row r="4" spans="1:9">
      <c r="A4">
        <v>-0.1</v>
      </c>
      <c r="B4" s="2" t="s">
        <v>13</v>
      </c>
      <c r="C4" s="1">
        <f>I7+I11-I9/2</f>
        <v>0.18</v>
      </c>
      <c r="D4">
        <f>F4</f>
        <v>1.1201283388692078</v>
      </c>
      <c r="E4" s="5">
        <f>BSDelta($C$2,D4,$I$6,C4,-1)*I13</f>
        <v>-0.10000000000000023</v>
      </c>
      <c r="F4">
        <f>$C$2*EXP(NORMSINV(-A4/$I$13)*C4*SQRT($I$6)+0.5*C4*C4*$I$6)</f>
        <v>1.1201283388692078</v>
      </c>
      <c r="H4" s="2" t="s">
        <v>2</v>
      </c>
      <c r="I4" s="3">
        <v>5.0000000000000001E-3</v>
      </c>
    </row>
    <row r="5" spans="1:9">
      <c r="A5">
        <v>-0.25</v>
      </c>
      <c r="B5" s="2" t="s">
        <v>14</v>
      </c>
      <c r="C5" s="1">
        <f>I7+I10-I8/2</f>
        <v>0.14000000000000001</v>
      </c>
      <c r="D5">
        <f>F5</f>
        <v>1.2754824220594463</v>
      </c>
      <c r="E5" s="5">
        <f>BSDelta($C$2,D5,$I$6,C5,-1)*I13</f>
        <v>-0.25000000000000011</v>
      </c>
      <c r="F5">
        <f>$C$2*EXP(NORMSINV(-A5/$I$13)*C5*SQRT($I$6)+0.5*C5*C5*$I$6)</f>
        <v>1.2754824220594463</v>
      </c>
      <c r="H5" s="2" t="s">
        <v>3</v>
      </c>
      <c r="I5" s="3">
        <v>1E-3</v>
      </c>
    </row>
    <row r="6" spans="1:9">
      <c r="A6">
        <v>0</v>
      </c>
      <c r="B6" s="2" t="s">
        <v>6</v>
      </c>
      <c r="C6" s="1">
        <f>I7</f>
        <v>0.12</v>
      </c>
      <c r="D6">
        <f>F6</f>
        <v>1.3975379299125779</v>
      </c>
      <c r="E6" s="5">
        <f>(BSDelta($C$2,D6,$I$6,C6,-1)+BSDelta($C$2,D6,$I$6,C6,1))*I13</f>
        <v>-4.4231640099212276E-16</v>
      </c>
      <c r="F6">
        <f>C2*EXP(0.5*I7*I7*I6)</f>
        <v>1.3975379299125779</v>
      </c>
      <c r="H6" s="2" t="s">
        <v>4</v>
      </c>
      <c r="I6">
        <v>1</v>
      </c>
    </row>
    <row r="7" spans="1:9">
      <c r="A7">
        <v>0.25</v>
      </c>
      <c r="B7" s="2" t="s">
        <v>15</v>
      </c>
      <c r="C7" s="1">
        <f>I7+I10+I8/2</f>
        <v>0.12000000000000001</v>
      </c>
      <c r="D7">
        <f>F7</f>
        <v>1.5147840053474282</v>
      </c>
      <c r="E7" s="5">
        <f>BSDelta($C$2,D7,$I$6,C7,1)*I13</f>
        <v>0.24999999999999978</v>
      </c>
      <c r="F7">
        <f>$C$2*EXP(-NORMSINV(A7/$I$13)*C7*SQRT($I$6)+0.5*C7*C7*$I$6)</f>
        <v>1.5147840053474282</v>
      </c>
      <c r="H7" s="2" t="s">
        <v>6</v>
      </c>
      <c r="I7" s="1">
        <v>0.12</v>
      </c>
    </row>
    <row r="8" spans="1:9">
      <c r="A8">
        <v>0.1</v>
      </c>
      <c r="B8" s="2" t="s">
        <v>16</v>
      </c>
      <c r="C8" s="1">
        <f>I7+I11+I9/2</f>
        <v>0.14000000000000001</v>
      </c>
      <c r="D8">
        <f>F8</f>
        <v>1.6760000341481525</v>
      </c>
      <c r="E8" s="5">
        <f>BSDelta($C$2,D8,$I$6,C8,1)*I13</f>
        <v>0.1</v>
      </c>
      <c r="F8">
        <f>$C$2*EXP(-NORMSINV(A8/$I$13)*C8*SQRT($I$6)+0.5*C8*C8*$I$6)</f>
        <v>1.6760000341481525</v>
      </c>
      <c r="H8" s="2" t="s">
        <v>5</v>
      </c>
      <c r="I8" s="1">
        <v>-0.02</v>
      </c>
    </row>
    <row r="9" spans="1:9">
      <c r="H9" s="2" t="s">
        <v>7</v>
      </c>
      <c r="I9" s="1">
        <v>-0.04</v>
      </c>
    </row>
    <row r="10" spans="1:9">
      <c r="H10" s="2" t="s">
        <v>8</v>
      </c>
      <c r="I10" s="1">
        <v>0.01</v>
      </c>
    </row>
    <row r="11" spans="1:9">
      <c r="H11" s="2" t="s">
        <v>9</v>
      </c>
      <c r="I11" s="1">
        <v>0.04</v>
      </c>
    </row>
    <row r="12" spans="1:9">
      <c r="H12" s="2"/>
    </row>
    <row r="13" spans="1:9">
      <c r="H13" s="2" t="s">
        <v>10</v>
      </c>
      <c r="I13">
        <f>EXP(-(I4-I5)*I6)</f>
        <v>0.99600798934399148</v>
      </c>
    </row>
    <row r="14" spans="1:9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J14"/>
  <sheetViews>
    <sheetView tabSelected="1" zoomScale="200" zoomScaleNormal="200" workbookViewId="0">
      <selection activeCell="C11" sqref="C11"/>
    </sheetView>
  </sheetViews>
  <sheetFormatPr baseColWidth="10" defaultRowHeight="14.4"/>
  <cols>
    <col min="5" max="5" width="9.21875" bestFit="1" customWidth="1"/>
    <col min="6" max="7" width="8.6640625" bestFit="1" customWidth="1"/>
    <col min="8" max="9" width="8.21875" bestFit="1" customWidth="1"/>
    <col min="10" max="10" width="7.21875" bestFit="1" customWidth="1"/>
  </cols>
  <sheetData>
    <row r="2" spans="1:10" ht="15" thickBot="1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>
      <c r="A3" s="4">
        <f>'Smile FX'!D4</f>
        <v>1.1201283388692078</v>
      </c>
      <c r="B3" s="1">
        <f>'Smile FX'!C4</f>
        <v>0.18</v>
      </c>
      <c r="C3" s="4"/>
      <c r="D3" s="1"/>
      <c r="E3" s="6"/>
      <c r="F3" s="7"/>
      <c r="G3" s="7"/>
      <c r="H3" s="7"/>
      <c r="I3" s="8"/>
      <c r="J3" s="15"/>
    </row>
    <row r="4" spans="1:10">
      <c r="A4" s="4">
        <f>'Smile FX'!D5</f>
        <v>1.2754824220594463</v>
      </c>
      <c r="B4" s="1">
        <f>'Smile FX'!C5</f>
        <v>0.14000000000000001</v>
      </c>
      <c r="C4" s="4"/>
      <c r="D4" s="1"/>
      <c r="E4" s="9"/>
      <c r="F4" s="10"/>
      <c r="G4" s="10"/>
      <c r="H4" s="10"/>
      <c r="I4" s="11"/>
      <c r="J4" s="16"/>
    </row>
    <row r="5" spans="1:10">
      <c r="A5" s="4">
        <f>'Smile FX'!D6</f>
        <v>1.3975379299125779</v>
      </c>
      <c r="B5" s="1">
        <f>'Smile FX'!C6</f>
        <v>0.12</v>
      </c>
      <c r="C5" s="4"/>
      <c r="D5" s="1"/>
      <c r="E5" s="9"/>
      <c r="F5" s="10"/>
      <c r="G5" s="10"/>
      <c r="H5" s="10"/>
      <c r="I5" s="11"/>
      <c r="J5" s="16"/>
    </row>
    <row r="6" spans="1:10">
      <c r="A6" s="4">
        <f>'Smile FX'!D7</f>
        <v>1.5147840053474282</v>
      </c>
      <c r="B6" s="1">
        <f>'Smile FX'!C7</f>
        <v>0.12000000000000001</v>
      </c>
      <c r="C6" s="4"/>
      <c r="D6" s="1"/>
      <c r="E6" s="9"/>
      <c r="F6" s="10"/>
      <c r="G6" s="10"/>
      <c r="H6" s="10"/>
      <c r="I6" s="11"/>
      <c r="J6" s="16"/>
    </row>
    <row r="7" spans="1:10" ht="15" thickBot="1">
      <c r="A7" s="4">
        <f>'Smile FX'!D8</f>
        <v>1.6760000341481525</v>
      </c>
      <c r="B7" s="1">
        <f>'Smile FX'!C8</f>
        <v>0.14000000000000001</v>
      </c>
      <c r="C7" s="4"/>
      <c r="D7" s="1"/>
      <c r="E7" s="12"/>
      <c r="F7" s="13"/>
      <c r="G7" s="13"/>
      <c r="H7" s="13"/>
      <c r="I7" s="14"/>
      <c r="J7" s="17"/>
    </row>
    <row r="9" spans="1:10">
      <c r="E9" s="2" t="s">
        <v>23</v>
      </c>
      <c r="F9" s="2" t="s">
        <v>24</v>
      </c>
      <c r="G9" s="2" t="s">
        <v>25</v>
      </c>
    </row>
    <row r="10" spans="1:10">
      <c r="E10" s="19"/>
      <c r="F10" s="20"/>
      <c r="G10" s="20"/>
    </row>
    <row r="11" spans="1:10">
      <c r="E11" s="19"/>
      <c r="F11" s="20"/>
      <c r="G11" s="20"/>
    </row>
    <row r="12" spans="1:10">
      <c r="E12" s="19"/>
      <c r="F12" s="20"/>
      <c r="G12" s="20"/>
    </row>
    <row r="13" spans="1:10">
      <c r="E13" s="19"/>
      <c r="F13" s="20"/>
      <c r="G13" s="20"/>
    </row>
    <row r="14" spans="1:10">
      <c r="E14" s="19"/>
      <c r="F14" s="20"/>
      <c r="G14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U23"/>
  <sheetViews>
    <sheetView zoomScale="200" zoomScaleNormal="200" workbookViewId="0">
      <selection activeCell="B6" sqref="B6"/>
    </sheetView>
  </sheetViews>
  <sheetFormatPr baseColWidth="10" defaultRowHeight="14.4"/>
  <cols>
    <col min="12" max="12" width="8.77734375" customWidth="1"/>
    <col min="20" max="20" width="6.5546875" bestFit="1" customWidth="1"/>
  </cols>
  <sheetData>
    <row r="1" spans="1:21">
      <c r="B1">
        <f>(D1-C1)/20</f>
        <v>2.9999999999999992E-2</v>
      </c>
      <c r="C1">
        <v>1.1000000000000001</v>
      </c>
      <c r="D1">
        <v>1.7</v>
      </c>
    </row>
    <row r="2" spans="1:21">
      <c r="B2" t="s">
        <v>18</v>
      </c>
      <c r="C2" t="s">
        <v>20</v>
      </c>
    </row>
    <row r="3" spans="1:21">
      <c r="A3">
        <v>1</v>
      </c>
      <c r="B3">
        <v>1</v>
      </c>
      <c r="C3" s="5">
        <f t="shared" ref="C3:C23" si="0">Spline(B3,Ks,Vols,coeffa,coeffb)</f>
        <v>0.2109302044471158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18"/>
      <c r="T3" s="3"/>
      <c r="U3" s="3"/>
    </row>
    <row r="4" spans="1:21">
      <c r="A4">
        <f>A3+1</f>
        <v>2</v>
      </c>
      <c r="B4">
        <f>B3+$B$1</f>
        <v>1.03</v>
      </c>
      <c r="C4" s="5">
        <f t="shared" si="0"/>
        <v>0.20320591439076402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18"/>
      <c r="T4" s="3"/>
      <c r="U4" s="3"/>
    </row>
    <row r="5" spans="1:21">
      <c r="A5">
        <f t="shared" ref="A5:A23" si="1">A4+1</f>
        <v>3</v>
      </c>
      <c r="B5">
        <f t="shared" ref="B5:B23" si="2">B4+$B$1</f>
        <v>1.06</v>
      </c>
      <c r="C5" s="5">
        <f t="shared" si="0"/>
        <v>0.1954816243344123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18"/>
      <c r="T5" s="3"/>
      <c r="U5" s="3"/>
    </row>
    <row r="6" spans="1:21">
      <c r="A6">
        <f t="shared" si="1"/>
        <v>4</v>
      </c>
      <c r="B6">
        <f t="shared" si="2"/>
        <v>1.0900000000000001</v>
      </c>
      <c r="C6" s="5">
        <f t="shared" si="0"/>
        <v>0.18775733427806054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18"/>
      <c r="T6" s="3"/>
      <c r="U6" s="3"/>
    </row>
    <row r="7" spans="1:21">
      <c r="A7">
        <f t="shared" si="1"/>
        <v>5</v>
      </c>
      <c r="B7">
        <f t="shared" si="2"/>
        <v>1.1200000000000001</v>
      </c>
      <c r="C7" s="5">
        <f t="shared" si="0"/>
        <v>0.18003304422170882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8"/>
      <c r="T7" s="3"/>
      <c r="U7" s="3"/>
    </row>
    <row r="8" spans="1:21">
      <c r="A8">
        <f t="shared" si="1"/>
        <v>6</v>
      </c>
      <c r="B8">
        <f t="shared" si="2"/>
        <v>1.1500000000000001</v>
      </c>
      <c r="C8" s="5">
        <f t="shared" si="0"/>
        <v>0.17230875416535707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18"/>
      <c r="T8" s="3"/>
      <c r="U8" s="3"/>
    </row>
    <row r="9" spans="1:21">
      <c r="A9">
        <f t="shared" si="1"/>
        <v>7</v>
      </c>
      <c r="B9">
        <f t="shared" si="2"/>
        <v>1.1800000000000002</v>
      </c>
      <c r="C9" s="5">
        <f t="shared" si="0"/>
        <v>0.16458446410900535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18"/>
      <c r="T9" s="3"/>
      <c r="U9" s="3"/>
    </row>
    <row r="10" spans="1:21">
      <c r="A10">
        <f t="shared" si="1"/>
        <v>8</v>
      </c>
      <c r="B10">
        <f t="shared" si="2"/>
        <v>1.2100000000000002</v>
      </c>
      <c r="C10" s="5">
        <f t="shared" si="0"/>
        <v>0.15686017405265357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18"/>
      <c r="T10" s="3"/>
      <c r="U10" s="3"/>
    </row>
    <row r="11" spans="1:21">
      <c r="A11">
        <f t="shared" si="1"/>
        <v>9</v>
      </c>
      <c r="B11">
        <f t="shared" si="2"/>
        <v>1.2400000000000002</v>
      </c>
      <c r="C11" s="5">
        <f t="shared" si="0"/>
        <v>0.14913588399630184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18"/>
      <c r="T11" s="3"/>
      <c r="U11" s="3"/>
    </row>
    <row r="12" spans="1:21">
      <c r="A12">
        <f t="shared" si="1"/>
        <v>10</v>
      </c>
      <c r="B12">
        <f t="shared" si="2"/>
        <v>1.2700000000000002</v>
      </c>
      <c r="C12" s="5">
        <f t="shared" si="0"/>
        <v>0.14141159393995009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18"/>
      <c r="T12" s="3"/>
      <c r="U12" s="3"/>
    </row>
    <row r="13" spans="1:21">
      <c r="A13">
        <f t="shared" si="1"/>
        <v>11</v>
      </c>
      <c r="B13">
        <f t="shared" si="2"/>
        <v>1.3000000000000003</v>
      </c>
      <c r="C13" s="5">
        <f t="shared" si="0"/>
        <v>0.1359825527955599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18"/>
      <c r="T13" s="3"/>
      <c r="U13" s="3"/>
    </row>
    <row r="14" spans="1:21">
      <c r="A14">
        <f t="shared" si="1"/>
        <v>12</v>
      </c>
      <c r="B14">
        <f t="shared" si="2"/>
        <v>1.3300000000000003</v>
      </c>
      <c r="C14" s="5">
        <f t="shared" si="0"/>
        <v>0.1310667566094347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18"/>
      <c r="T14" s="3"/>
      <c r="U14" s="3"/>
    </row>
    <row r="15" spans="1:21">
      <c r="A15">
        <f t="shared" si="1"/>
        <v>13</v>
      </c>
      <c r="B15">
        <f t="shared" si="2"/>
        <v>1.3600000000000003</v>
      </c>
      <c r="C15" s="5">
        <f t="shared" si="0"/>
        <v>0.12615096042330948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18"/>
      <c r="T15" s="3"/>
      <c r="U15" s="3"/>
    </row>
    <row r="16" spans="1:21">
      <c r="A16">
        <f t="shared" si="1"/>
        <v>14</v>
      </c>
      <c r="B16">
        <f t="shared" si="2"/>
        <v>1.3900000000000003</v>
      </c>
      <c r="C16" s="5">
        <f t="shared" si="0"/>
        <v>0.12123516423718425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18"/>
      <c r="T16" s="3"/>
      <c r="U16" s="3"/>
    </row>
    <row r="17" spans="1:21">
      <c r="A17">
        <f t="shared" si="1"/>
        <v>15</v>
      </c>
      <c r="B17">
        <f t="shared" si="2"/>
        <v>1.4200000000000004</v>
      </c>
      <c r="C17" s="5">
        <f t="shared" si="0"/>
        <v>0.12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18"/>
      <c r="T17" s="3"/>
      <c r="U17" s="3"/>
    </row>
    <row r="18" spans="1:21">
      <c r="A18">
        <f t="shared" si="1"/>
        <v>16</v>
      </c>
      <c r="B18">
        <f t="shared" si="2"/>
        <v>1.4500000000000004</v>
      </c>
      <c r="C18" s="5">
        <f t="shared" si="0"/>
        <v>0.12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18"/>
      <c r="T18" s="3"/>
      <c r="U18" s="3"/>
    </row>
    <row r="19" spans="1:21">
      <c r="A19">
        <f t="shared" si="1"/>
        <v>17</v>
      </c>
      <c r="B19">
        <f t="shared" si="2"/>
        <v>1.4800000000000004</v>
      </c>
      <c r="C19" s="5">
        <f t="shared" si="0"/>
        <v>0.12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18"/>
      <c r="T19" s="3"/>
      <c r="U19" s="3"/>
    </row>
    <row r="20" spans="1:21">
      <c r="A20">
        <f t="shared" si="1"/>
        <v>18</v>
      </c>
      <c r="B20">
        <f t="shared" si="2"/>
        <v>1.5100000000000005</v>
      </c>
      <c r="C20" s="5">
        <f t="shared" si="0"/>
        <v>0.12000000000000001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18"/>
      <c r="T20" s="3"/>
      <c r="U20" s="3"/>
    </row>
    <row r="21" spans="1:21">
      <c r="A21">
        <f t="shared" si="1"/>
        <v>19</v>
      </c>
      <c r="B21">
        <f t="shared" si="2"/>
        <v>1.5400000000000005</v>
      </c>
      <c r="C21" s="5">
        <f t="shared" si="0"/>
        <v>0.12312822426407008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18"/>
      <c r="T21" s="3"/>
      <c r="U21" s="3"/>
    </row>
    <row r="22" spans="1:21">
      <c r="A22">
        <f t="shared" si="1"/>
        <v>20</v>
      </c>
      <c r="B22">
        <f t="shared" si="2"/>
        <v>1.5700000000000005</v>
      </c>
      <c r="C22" s="5">
        <f t="shared" si="0"/>
        <v>0.12684993856545415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18"/>
      <c r="T22" s="3"/>
      <c r="U22" s="3"/>
    </row>
    <row r="23" spans="1:21">
      <c r="A23">
        <f t="shared" si="1"/>
        <v>21</v>
      </c>
      <c r="B23">
        <f t="shared" si="2"/>
        <v>1.6000000000000005</v>
      </c>
      <c r="C23" s="5">
        <f t="shared" si="0"/>
        <v>0.13057165286683822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18"/>
      <c r="T23" s="3"/>
      <c r="U23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Smile FX</vt:lpstr>
      <vt:lpstr>Spline</vt:lpstr>
      <vt:lpstr>View</vt:lpstr>
      <vt:lpstr>coeffa</vt:lpstr>
      <vt:lpstr>coeffb</vt:lpstr>
      <vt:lpstr>Ks</vt:lpstr>
      <vt:lpstr>Vols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2014-04-09T10:37:18Z</dcterms:created>
  <dcterms:modified xsi:type="dcterms:W3CDTF">2014-04-10T07:47:08Z</dcterms:modified>
</cp:coreProperties>
</file>