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2" yWindow="-12" windowWidth="10212" windowHeight="8076" activeTab="1"/>
  </bookViews>
  <sheets>
    <sheet name="Prime" sheetId="1" r:id="rId1"/>
    <sheet name="FXDelta" sheetId="4" r:id="rId2"/>
  </sheets>
  <functionGroups/>
  <calcPr calcId="124519"/>
</workbook>
</file>

<file path=xl/calcChain.xml><?xml version="1.0" encoding="utf-8"?>
<calcChain xmlns="http://schemas.openxmlformats.org/spreadsheetml/2006/main">
  <c r="C16" i="4"/>
  <c r="C11"/>
  <c r="C10"/>
  <c r="C10" i="1"/>
  <c r="C11"/>
  <c r="C16"/>
  <c r="C13" i="4" l="1"/>
  <c r="C12" i="1"/>
  <c r="C12" i="4"/>
  <c r="F3"/>
  <c r="F4" i="1"/>
  <c r="F3"/>
  <c r="F4" i="4" l="1"/>
</calcChain>
</file>

<file path=xl/sharedStrings.xml><?xml version="1.0" encoding="utf-8"?>
<sst xmlns="http://schemas.openxmlformats.org/spreadsheetml/2006/main" count="40" uniqueCount="28">
  <si>
    <t>S</t>
  </si>
  <si>
    <t>rUSD</t>
  </si>
  <si>
    <t>rEUR</t>
  </si>
  <si>
    <t>m</t>
  </si>
  <si>
    <t>vol</t>
  </si>
  <si>
    <t>T</t>
  </si>
  <si>
    <t>DFEUR</t>
  </si>
  <si>
    <t>DFUSD</t>
  </si>
  <si>
    <t>F</t>
  </si>
  <si>
    <t>K</t>
  </si>
  <si>
    <t>NEUR</t>
  </si>
  <si>
    <t>NUSD</t>
  </si>
  <si>
    <t>p with Call</t>
  </si>
  <si>
    <t>p with Put</t>
  </si>
  <si>
    <t>USD</t>
  </si>
  <si>
    <t>EUR</t>
  </si>
  <si>
    <t>%USD</t>
  </si>
  <si>
    <t>%EUR</t>
  </si>
  <si>
    <t>USD pips per EUR</t>
  </si>
  <si>
    <t>EUR pips per USD</t>
  </si>
  <si>
    <t>prime en USD</t>
  </si>
  <si>
    <t>prime en EUR</t>
  </si>
  <si>
    <t>FXDelta</t>
  </si>
  <si>
    <t>F+1pips</t>
  </si>
  <si>
    <t>FX Delta %EUR prime EUR</t>
  </si>
  <si>
    <t>FX Delta %EUR prime USD</t>
  </si>
  <si>
    <t>FX Delta %USD prime EUR</t>
  </si>
  <si>
    <t>FX Delta %USD prime USD</t>
  </si>
</sst>
</file>

<file path=xl/styles.xml><?xml version="1.0" encoding="utf-8"?>
<styleSheet xmlns="http://schemas.openxmlformats.org/spreadsheetml/2006/main">
  <numFmts count="7">
    <numFmt numFmtId="43" formatCode="_-* #,##0.00\ _€_-;\-* #,##0.00\ _€_-;_-* &quot;-&quot;??\ _€_-;_-@_-"/>
    <numFmt numFmtId="164" formatCode="_-* #,##0\ _€_-;\-* #,##0\ _€_-;_-* &quot;-&quot;??\ _€_-;_-@_-"/>
    <numFmt numFmtId="165" formatCode="_-* #,##0.0000\ _€_-;\-* #,##0.0000\ _€_-;_-* &quot;-&quot;??\ _€_-;_-@_-"/>
    <numFmt numFmtId="166" formatCode="0.0000"/>
    <numFmt numFmtId="167" formatCode="_-* #,##0.0000\ _€_-;\-* #,##0.0000\ _€_-;_-* &quot;-&quot;????\ _€_-;_-@_-"/>
    <numFmt numFmtId="168" formatCode="_-* #,##0.00000\ _€_-;\-* #,##0.00000\ _€_-;_-* &quot;-&quot;??\ _€_-;_-@_-"/>
    <numFmt numFmtId="169" formatCode="0.0000%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9" fontId="0" fillId="0" borderId="0" xfId="0" applyNumberFormat="1"/>
    <xf numFmtId="10" fontId="0" fillId="0" borderId="0" xfId="0" applyNumberFormat="1"/>
    <xf numFmtId="10" fontId="0" fillId="0" borderId="0" xfId="2" applyNumberFormat="1" applyFont="1"/>
    <xf numFmtId="43" fontId="0" fillId="0" borderId="0" xfId="1" applyFont="1"/>
    <xf numFmtId="164" fontId="0" fillId="0" borderId="0" xfId="1" applyNumberFormat="1" applyFont="1"/>
    <xf numFmtId="165" fontId="0" fillId="0" borderId="0" xfId="1" applyNumberFormat="1" applyFont="1"/>
    <xf numFmtId="166" fontId="0" fillId="0" borderId="0" xfId="0" applyNumberFormat="1"/>
    <xf numFmtId="0" fontId="2" fillId="0" borderId="0" xfId="0" applyFont="1"/>
    <xf numFmtId="164" fontId="0" fillId="0" borderId="0" xfId="0" applyNumberFormat="1"/>
    <xf numFmtId="167" fontId="0" fillId="0" borderId="0" xfId="0" applyNumberFormat="1"/>
    <xf numFmtId="168" fontId="0" fillId="0" borderId="0" xfId="1" applyNumberFormat="1" applyFont="1"/>
    <xf numFmtId="164" fontId="0" fillId="2" borderId="0" xfId="0" applyNumberFormat="1" applyFill="1"/>
    <xf numFmtId="164" fontId="0" fillId="2" borderId="0" xfId="1" applyNumberFormat="1" applyFont="1" applyFill="1"/>
    <xf numFmtId="169" fontId="0" fillId="2" borderId="0" xfId="2" applyNumberFormat="1" applyFont="1" applyFill="1"/>
    <xf numFmtId="2" fontId="0" fillId="2" borderId="0" xfId="0" applyNumberFormat="1" applyFill="1"/>
    <xf numFmtId="10" fontId="0" fillId="2" borderId="0" xfId="2" applyNumberFormat="1" applyFont="1" applyFill="1"/>
    <xf numFmtId="10" fontId="0" fillId="2" borderId="0" xfId="0" applyNumberFormat="1" applyFill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B3:F16"/>
  <sheetViews>
    <sheetView topLeftCell="D6" zoomScale="200" zoomScaleNormal="200" workbookViewId="0">
      <selection activeCell="F8" sqref="F8"/>
    </sheetView>
  </sheetViews>
  <sheetFormatPr baseColWidth="10" defaultRowHeight="14.4"/>
  <cols>
    <col min="3" max="3" width="17.109375" bestFit="1" customWidth="1"/>
    <col min="4" max="4" width="5.44140625" customWidth="1"/>
    <col min="5" max="5" width="15.6640625" bestFit="1" customWidth="1"/>
    <col min="6" max="6" width="23.88671875" bestFit="1" customWidth="1"/>
  </cols>
  <sheetData>
    <row r="3" spans="2:6">
      <c r="B3" s="8" t="s">
        <v>0</v>
      </c>
      <c r="C3" s="6">
        <v>1.1162000000000001</v>
      </c>
      <c r="E3" s="8" t="s">
        <v>12</v>
      </c>
      <c r="F3" s="9">
        <f>BS(C12,C16,C8,C7,1)*C14*C11</f>
        <v>5937690.3192745177</v>
      </c>
    </row>
    <row r="4" spans="2:6">
      <c r="B4" s="8" t="s">
        <v>1</v>
      </c>
      <c r="C4" s="3">
        <v>8.0999999999999996E-3</v>
      </c>
      <c r="E4" s="8" t="s">
        <v>13</v>
      </c>
      <c r="F4" s="5">
        <f>BS(1/C12,1/C16,C8,C7,-1)*C15*C10*C3</f>
        <v>5937690.3192745093</v>
      </c>
    </row>
    <row r="5" spans="2:6">
      <c r="B5" s="8" t="s">
        <v>2</v>
      </c>
      <c r="C5" s="2">
        <v>-2.7000000000000001E-3</v>
      </c>
    </row>
    <row r="6" spans="2:6">
      <c r="B6" s="8" t="s">
        <v>3</v>
      </c>
      <c r="C6" s="2">
        <v>2.8999999999999998E-3</v>
      </c>
    </row>
    <row r="7" spans="2:6">
      <c r="B7" s="8" t="s">
        <v>5</v>
      </c>
      <c r="C7" s="1">
        <v>1</v>
      </c>
      <c r="E7" s="8" t="s">
        <v>14</v>
      </c>
      <c r="F7" s="12"/>
    </row>
    <row r="8" spans="2:6">
      <c r="B8" s="8" t="s">
        <v>4</v>
      </c>
      <c r="C8" s="1">
        <v>0.12</v>
      </c>
      <c r="E8" s="8" t="s">
        <v>15</v>
      </c>
      <c r="F8" s="13"/>
    </row>
    <row r="9" spans="2:6">
      <c r="E9" s="8" t="s">
        <v>16</v>
      </c>
      <c r="F9" s="14"/>
    </row>
    <row r="10" spans="2:6">
      <c r="B10" s="8" t="s">
        <v>6</v>
      </c>
      <c r="C10" s="6">
        <f>EXP(-C5+C6)</f>
        <v>1.0056157093103564</v>
      </c>
      <c r="E10" s="8" t="s">
        <v>17</v>
      </c>
      <c r="F10" s="14"/>
    </row>
    <row r="11" spans="2:6">
      <c r="B11" s="8" t="s">
        <v>7</v>
      </c>
      <c r="C11" s="6">
        <f>EXP(-C4*C7)</f>
        <v>0.99193271660557114</v>
      </c>
      <c r="E11" s="8" t="s">
        <v>18</v>
      </c>
      <c r="F11" s="15"/>
    </row>
    <row r="12" spans="2:6">
      <c r="B12" s="8" t="s">
        <v>8</v>
      </c>
      <c r="C12" s="6">
        <f>C10/C11*C3</f>
        <v>1.1315971697892433</v>
      </c>
      <c r="E12" s="8" t="s">
        <v>19</v>
      </c>
      <c r="F12" s="15"/>
    </row>
    <row r="14" spans="2:6">
      <c r="B14" s="8" t="s">
        <v>10</v>
      </c>
      <c r="C14" s="4">
        <v>100000000</v>
      </c>
    </row>
    <row r="15" spans="2:6">
      <c r="B15" s="8" t="s">
        <v>11</v>
      </c>
      <c r="C15" s="4">
        <v>112000000</v>
      </c>
    </row>
    <row r="16" spans="2:6">
      <c r="B16" s="8" t="s">
        <v>9</v>
      </c>
      <c r="C16" s="7">
        <f>C15/C14</f>
        <v>1.1200000000000001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4"/>
  <dimension ref="B3:F16"/>
  <sheetViews>
    <sheetView tabSelected="1" topLeftCell="C1" zoomScale="200" zoomScaleNormal="200" workbookViewId="0">
      <selection activeCell="G6" sqref="G6"/>
    </sheetView>
  </sheetViews>
  <sheetFormatPr baseColWidth="10" defaultRowHeight="14.4"/>
  <cols>
    <col min="3" max="3" width="17.109375" bestFit="1" customWidth="1"/>
    <col min="4" max="4" width="9.33203125" bestFit="1" customWidth="1"/>
    <col min="5" max="5" width="23.5546875" bestFit="1" customWidth="1"/>
    <col min="6" max="6" width="12.88671875" bestFit="1" customWidth="1"/>
  </cols>
  <sheetData>
    <row r="3" spans="2:6">
      <c r="B3" s="8" t="s">
        <v>0</v>
      </c>
      <c r="C3" s="11">
        <v>1.1162000000000001</v>
      </c>
      <c r="E3" s="8" t="s">
        <v>20</v>
      </c>
      <c r="F3" s="9">
        <f>BS(C12,C16,C8,C7,1)*C11*C14</f>
        <v>5937690.3192745177</v>
      </c>
    </row>
    <row r="4" spans="2:6">
      <c r="B4" s="8" t="s">
        <v>1</v>
      </c>
      <c r="C4" s="3">
        <v>8.0999999999999996E-3</v>
      </c>
      <c r="E4" s="8" t="s">
        <v>21</v>
      </c>
      <c r="F4" s="5">
        <f>F3/C3</f>
        <v>5319557.7130214274</v>
      </c>
    </row>
    <row r="5" spans="2:6">
      <c r="B5" s="8" t="s">
        <v>2</v>
      </c>
      <c r="C5" s="2">
        <v>-2.7000000000000001E-3</v>
      </c>
    </row>
    <row r="6" spans="2:6">
      <c r="B6" s="8" t="s">
        <v>3</v>
      </c>
      <c r="C6" s="2">
        <v>2.8999999999999998E-3</v>
      </c>
      <c r="E6" s="8" t="s">
        <v>22</v>
      </c>
      <c r="F6" s="16"/>
    </row>
    <row r="7" spans="2:6">
      <c r="B7" s="8" t="s">
        <v>5</v>
      </c>
      <c r="C7" s="1">
        <v>1</v>
      </c>
    </row>
    <row r="8" spans="2:6">
      <c r="B8" s="8" t="s">
        <v>4</v>
      </c>
      <c r="C8" s="1">
        <v>0.12</v>
      </c>
      <c r="E8" s="8" t="s">
        <v>24</v>
      </c>
      <c r="F8" s="16"/>
    </row>
    <row r="9" spans="2:6">
      <c r="E9" s="8" t="s">
        <v>25</v>
      </c>
      <c r="F9" s="17"/>
    </row>
    <row r="10" spans="2:6">
      <c r="B10" s="8" t="s">
        <v>6</v>
      </c>
      <c r="C10" s="6">
        <f>EXP(-C5+C6)</f>
        <v>1.0056157093103564</v>
      </c>
      <c r="E10" s="8" t="s">
        <v>26</v>
      </c>
      <c r="F10" s="16"/>
    </row>
    <row r="11" spans="2:6">
      <c r="B11" s="8" t="s">
        <v>7</v>
      </c>
      <c r="C11" s="6">
        <f>EXP(-C4*C7)</f>
        <v>0.99193271660557114</v>
      </c>
      <c r="E11" s="8" t="s">
        <v>27</v>
      </c>
      <c r="F11" s="16"/>
    </row>
    <row r="12" spans="2:6">
      <c r="B12" s="8" t="s">
        <v>8</v>
      </c>
      <c r="C12" s="6">
        <f>C10/C11*C3</f>
        <v>1.1315971697892433</v>
      </c>
    </row>
    <row r="13" spans="2:6">
      <c r="B13" s="8" t="s">
        <v>23</v>
      </c>
      <c r="C13" s="10">
        <f>C10/C11*(C3+0.0001)</f>
        <v>1.1316985492167462</v>
      </c>
    </row>
    <row r="14" spans="2:6">
      <c r="B14" s="8" t="s">
        <v>10</v>
      </c>
      <c r="C14" s="4">
        <v>100000000</v>
      </c>
    </row>
    <row r="15" spans="2:6">
      <c r="B15" s="8" t="s">
        <v>11</v>
      </c>
      <c r="C15" s="4">
        <v>112000000</v>
      </c>
    </row>
    <row r="16" spans="2:6">
      <c r="B16" s="8" t="s">
        <v>9</v>
      </c>
      <c r="C16" s="7">
        <f>C15/C14</f>
        <v>1.1200000000000001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Prime</vt:lpstr>
      <vt:lpstr>FXDelta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2014-04-14T06:18:50Z</dcterms:created>
  <dcterms:modified xsi:type="dcterms:W3CDTF">2016-03-27T16:14:18Z</dcterms:modified>
</cp:coreProperties>
</file>