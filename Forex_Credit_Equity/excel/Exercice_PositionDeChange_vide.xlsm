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480" yWindow="96" windowWidth="19416" windowHeight="9480" activeTab="1"/>
  </bookViews>
  <sheets>
    <sheet name="Quizz" sheetId="2" r:id="rId1"/>
    <sheet name="Problème" sheetId="1" r:id="rId2"/>
    <sheet name="Feuil3" sheetId="3" r:id="rId3"/>
  </sheets>
  <calcPr calcId="124519"/>
</workbook>
</file>

<file path=xl/calcChain.xml><?xml version="1.0" encoding="utf-8"?>
<calcChain xmlns="http://schemas.openxmlformats.org/spreadsheetml/2006/main">
  <c r="D12" i="1"/>
  <c r="D11"/>
  <c r="D10"/>
  <c r="C11"/>
  <c r="C10"/>
  <c r="B11"/>
  <c r="B10"/>
  <c r="D9" i="2"/>
  <c r="D8"/>
  <c r="C8"/>
  <c r="C9"/>
  <c r="H10" i="1"/>
  <c r="H9"/>
  <c r="C12" l="1"/>
  <c r="B12"/>
</calcChain>
</file>

<file path=xl/sharedStrings.xml><?xml version="1.0" encoding="utf-8"?>
<sst xmlns="http://schemas.openxmlformats.org/spreadsheetml/2006/main" count="38" uniqueCount="26">
  <si>
    <t>S</t>
  </si>
  <si>
    <t>rEUR</t>
  </si>
  <si>
    <t>rUSD</t>
  </si>
  <si>
    <t>m</t>
  </si>
  <si>
    <t>T</t>
  </si>
  <si>
    <t>vol</t>
  </si>
  <si>
    <t>DFEUR</t>
  </si>
  <si>
    <t>DFUSD</t>
  </si>
  <si>
    <t>Opération 1</t>
  </si>
  <si>
    <t>Opération 2</t>
  </si>
  <si>
    <t>EUR</t>
  </si>
  <si>
    <t>USD</t>
  </si>
  <si>
    <t>PVEUR</t>
  </si>
  <si>
    <t>PVUSD</t>
  </si>
  <si>
    <t>TOTAL USD</t>
  </si>
  <si>
    <t>TOTAL</t>
  </si>
  <si>
    <t>Sensi EUR</t>
  </si>
  <si>
    <t>Sensi USD</t>
  </si>
  <si>
    <t>TOTAL EUR</t>
  </si>
  <si>
    <t>Notional EUR</t>
  </si>
  <si>
    <t>Notional USD</t>
  </si>
  <si>
    <t>PNL USD</t>
  </si>
  <si>
    <t>PNL EUR</t>
  </si>
  <si>
    <t>F Cont</t>
  </si>
  <si>
    <t>F Act</t>
  </si>
  <si>
    <t>Sensi Basis</t>
  </si>
</sst>
</file>

<file path=xl/styles.xml><?xml version="1.0" encoding="utf-8"?>
<styleSheet xmlns="http://schemas.openxmlformats.org/spreadsheetml/2006/main">
  <numFmts count="6">
    <numFmt numFmtId="43" formatCode="_-* #,##0.00\ _€_-;\-* #,##0.00\ _€_-;_-* &quot;-&quot;??\ _€_-;_-@_-"/>
    <numFmt numFmtId="164" formatCode="0.0000"/>
    <numFmt numFmtId="165" formatCode="_-* #,##0\ _€_-;\-* #,##0\ _€_-;_-* &quot;-&quot;??\ _€_-;_-@_-"/>
    <numFmt numFmtId="166" formatCode="_-* #,##0\ _€_-;\-* #,##0\ _€_-;_-* &quot;-&quot;????\ _€_-;_-@_-"/>
    <numFmt numFmtId="167" formatCode="_-* #,##0.0000\ _€_-;\-* #,##0.0000\ _€_-;_-* &quot;-&quot;????\ _€_-;_-@_-"/>
    <numFmt numFmtId="169" formatCode="_-* #,##0.0000\ _€_-;\-* #,##0.0000\ _€_-;_-* &quot;-&quot;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9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0" fontId="2" fillId="0" borderId="0" xfId="0" applyFont="1"/>
    <xf numFmtId="166" fontId="0" fillId="0" borderId="0" xfId="0" applyNumberFormat="1"/>
    <xf numFmtId="166" fontId="0" fillId="2" borderId="0" xfId="0" applyNumberFormat="1" applyFill="1"/>
    <xf numFmtId="43" fontId="0" fillId="2" borderId="0" xfId="1" applyFont="1" applyFill="1"/>
    <xf numFmtId="167" fontId="0" fillId="2" borderId="0" xfId="0" applyNumberFormat="1" applyFill="1"/>
    <xf numFmtId="169" fontId="0" fillId="2" borderId="0" xfId="1" applyNumberFormat="1" applyFont="1" applyFill="1"/>
  </cellXfs>
  <cellStyles count="2">
    <cellStyle name="Milliers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/>
  <dimension ref="B2:F9"/>
  <sheetViews>
    <sheetView topLeftCell="B1" zoomScale="200" zoomScaleNormal="200" workbookViewId="0">
      <selection activeCell="F2" sqref="F2:F9"/>
    </sheetView>
  </sheetViews>
  <sheetFormatPr baseColWidth="10" defaultRowHeight="14.4"/>
  <cols>
    <col min="5" max="5" width="12.21875" bestFit="1" customWidth="1"/>
    <col min="6" max="6" width="18.6640625" bestFit="1" customWidth="1"/>
  </cols>
  <sheetData>
    <row r="2" spans="2:6">
      <c r="B2" s="5" t="s">
        <v>0</v>
      </c>
      <c r="C2">
        <v>1.1162000000000001</v>
      </c>
      <c r="E2" s="5" t="s">
        <v>19</v>
      </c>
      <c r="F2" s="8"/>
    </row>
    <row r="3" spans="2:6">
      <c r="B3" s="5" t="s">
        <v>2</v>
      </c>
      <c r="C3" s="2">
        <v>8.0999999999999996E-3</v>
      </c>
      <c r="E3" s="5" t="s">
        <v>20</v>
      </c>
      <c r="F3" s="8"/>
    </row>
    <row r="4" spans="2:6">
      <c r="B4" s="5" t="s">
        <v>1</v>
      </c>
      <c r="C4" s="2">
        <v>-2.7000000000000001E-3</v>
      </c>
      <c r="E4" s="5"/>
      <c r="F4" s="5"/>
    </row>
    <row r="5" spans="2:6">
      <c r="B5" s="5" t="s">
        <v>4</v>
      </c>
      <c r="C5">
        <v>1</v>
      </c>
      <c r="E5" s="5" t="s">
        <v>21</v>
      </c>
      <c r="F5" s="9"/>
    </row>
    <row r="6" spans="2:6">
      <c r="B6" s="5" t="s">
        <v>5</v>
      </c>
      <c r="C6" s="1">
        <v>0.12</v>
      </c>
      <c r="E6" s="5" t="s">
        <v>22</v>
      </c>
      <c r="F6" s="9"/>
    </row>
    <row r="7" spans="2:6">
      <c r="B7" s="5"/>
      <c r="F7" s="5"/>
    </row>
    <row r="8" spans="2:6">
      <c r="B8" s="5" t="s">
        <v>6</v>
      </c>
      <c r="C8" s="3">
        <f>EXP(-(C4)*C5)</f>
        <v>1.0027036482827156</v>
      </c>
      <c r="D8">
        <f>1/(1+C4)</f>
        <v>1.002707309736288</v>
      </c>
      <c r="E8" s="5" t="s">
        <v>23</v>
      </c>
      <c r="F8" s="10"/>
    </row>
    <row r="9" spans="2:6">
      <c r="B9" s="5" t="s">
        <v>7</v>
      </c>
      <c r="C9" s="3">
        <f>EXP(-C3*C5)</f>
        <v>0.99193271660557114</v>
      </c>
      <c r="D9">
        <f>1/(1+C3)</f>
        <v>0.99196508282908447</v>
      </c>
      <c r="E9" s="5" t="s">
        <v>24</v>
      </c>
      <c r="F9" s="10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2:H12"/>
  <sheetViews>
    <sheetView tabSelected="1" topLeftCell="A6" zoomScale="200" zoomScaleNormal="200" workbookViewId="0">
      <selection activeCell="C12" sqref="C12"/>
    </sheetView>
  </sheetViews>
  <sheetFormatPr baseColWidth="10" defaultRowHeight="14.4"/>
  <cols>
    <col min="2" max="3" width="14.44140625" bestFit="1" customWidth="1"/>
    <col min="4" max="4" width="16.44140625" bestFit="1" customWidth="1"/>
    <col min="5" max="5" width="13.33203125" bestFit="1" customWidth="1"/>
    <col min="6" max="6" width="7.33203125" customWidth="1"/>
  </cols>
  <sheetData>
    <row r="2" spans="1:8">
      <c r="B2" s="5" t="s">
        <v>10</v>
      </c>
      <c r="C2" s="5" t="s">
        <v>11</v>
      </c>
      <c r="G2" s="5" t="s">
        <v>0</v>
      </c>
      <c r="H2">
        <v>1.1162000000000001</v>
      </c>
    </row>
    <row r="3" spans="1:8">
      <c r="A3" s="5" t="s">
        <v>8</v>
      </c>
      <c r="B3" s="4">
        <v>-100000000</v>
      </c>
      <c r="C3" s="4">
        <v>113000000</v>
      </c>
      <c r="G3" s="5" t="s">
        <v>2</v>
      </c>
      <c r="H3" s="2">
        <v>8.0999999999999996E-3</v>
      </c>
    </row>
    <row r="4" spans="1:8">
      <c r="A4" s="5" t="s">
        <v>9</v>
      </c>
      <c r="B4" s="4">
        <v>89000000</v>
      </c>
      <c r="C4" s="4">
        <v>-100000000</v>
      </c>
      <c r="G4" s="5" t="s">
        <v>1</v>
      </c>
      <c r="H4" s="2">
        <v>-2.7000000000000001E-3</v>
      </c>
    </row>
    <row r="5" spans="1:8">
      <c r="B5" s="5" t="s">
        <v>12</v>
      </c>
      <c r="C5" s="5" t="s">
        <v>13</v>
      </c>
      <c r="D5" s="5" t="s">
        <v>14</v>
      </c>
      <c r="E5" s="5" t="s">
        <v>18</v>
      </c>
      <c r="G5" s="5" t="s">
        <v>3</v>
      </c>
      <c r="H5" s="2">
        <v>2.8999999999999998E-3</v>
      </c>
    </row>
    <row r="6" spans="1:8">
      <c r="A6" s="5" t="s">
        <v>8</v>
      </c>
      <c r="B6" s="7"/>
      <c r="C6" s="7"/>
      <c r="D6" s="7"/>
      <c r="E6" s="7"/>
      <c r="G6" s="5" t="s">
        <v>4</v>
      </c>
      <c r="H6">
        <v>1</v>
      </c>
    </row>
    <row r="7" spans="1:8">
      <c r="A7" s="5" t="s">
        <v>9</v>
      </c>
      <c r="B7" s="7"/>
      <c r="C7" s="7"/>
      <c r="D7" s="7"/>
      <c r="E7" s="7"/>
      <c r="G7" s="5" t="s">
        <v>5</v>
      </c>
      <c r="H7" s="1">
        <v>0.12</v>
      </c>
    </row>
    <row r="8" spans="1:8">
      <c r="A8" s="5" t="s">
        <v>15</v>
      </c>
      <c r="B8" s="7"/>
      <c r="C8" s="7"/>
      <c r="D8" s="7"/>
      <c r="E8" s="7"/>
      <c r="G8" s="5"/>
    </row>
    <row r="9" spans="1:8">
      <c r="B9" s="5" t="s">
        <v>16</v>
      </c>
      <c r="C9" s="5" t="s">
        <v>17</v>
      </c>
      <c r="D9" s="5" t="s">
        <v>25</v>
      </c>
      <c r="G9" s="5" t="s">
        <v>6</v>
      </c>
      <c r="H9" s="3">
        <f>EXP(-(H4-H5)*H6)</f>
        <v>1.0056157093103564</v>
      </c>
    </row>
    <row r="10" spans="1:8">
      <c r="A10" s="5" t="s">
        <v>8</v>
      </c>
      <c r="B10" s="6">
        <f>-B6/10000</f>
        <v>0</v>
      </c>
      <c r="C10" s="6">
        <f>-C6/10000</f>
        <v>0</v>
      </c>
      <c r="D10" s="6">
        <f>-B10</f>
        <v>0</v>
      </c>
      <c r="G10" s="5" t="s">
        <v>7</v>
      </c>
      <c r="H10" s="3">
        <f>EXP(-H3*H6)</f>
        <v>0.99193271660557114</v>
      </c>
    </row>
    <row r="11" spans="1:8">
      <c r="A11" s="5" t="s">
        <v>9</v>
      </c>
      <c r="B11" s="6">
        <f>-B7/10000</f>
        <v>0</v>
      </c>
      <c r="C11" s="6">
        <f>-C7/10000</f>
        <v>0</v>
      </c>
      <c r="D11" s="6">
        <f>-B11</f>
        <v>0</v>
      </c>
    </row>
    <row r="12" spans="1:8">
      <c r="A12" s="5" t="s">
        <v>15</v>
      </c>
      <c r="B12" s="6">
        <f>B10+B11</f>
        <v>0</v>
      </c>
      <c r="C12" s="6">
        <f>C10+C11</f>
        <v>0</v>
      </c>
      <c r="D12" s="6">
        <f>D10+D11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Quizz</vt:lpstr>
      <vt:lpstr>Problème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2014-04-14T06:46:41Z</dcterms:created>
  <dcterms:modified xsi:type="dcterms:W3CDTF">2016-04-02T07:13:49Z</dcterms:modified>
</cp:coreProperties>
</file>