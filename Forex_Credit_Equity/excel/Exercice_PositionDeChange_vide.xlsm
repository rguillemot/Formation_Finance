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96" windowWidth="11616" windowHeight="5604"/>
  </bookViews>
  <sheets>
    <sheet name="Feuil1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C12" i="1"/>
  <c r="B12"/>
  <c r="C11"/>
  <c r="B11"/>
  <c r="C10"/>
  <c r="B10"/>
  <c r="C8"/>
  <c r="C7"/>
  <c r="C6"/>
  <c r="B3"/>
  <c r="H10"/>
  <c r="H9"/>
  <c r="B6" s="1"/>
  <c r="D6" l="1"/>
  <c r="B7"/>
  <c r="D7" s="1"/>
  <c r="E7" s="1"/>
  <c r="B8" l="1"/>
  <c r="D8"/>
  <c r="E8" s="1"/>
  <c r="E6"/>
</calcChain>
</file>

<file path=xl/sharedStrings.xml><?xml version="1.0" encoding="utf-8"?>
<sst xmlns="http://schemas.openxmlformats.org/spreadsheetml/2006/main" count="24" uniqueCount="19">
  <si>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</si>
  <si>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</si>
  <si>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</si>
  <si>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</si>
  <si>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</si>
  <si>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</si>
  <si>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</si>
  <si>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</si>
  <si>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</si>
  <si>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</si>
  <si>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PVEUR</t>
  </si>
  <si>
    <t>PVUSD</t>
  </si>
  <si>
    <t>TOTAL USD</t>
  </si>
  <si>
    <t>TOTAL</t>
  </si>
  <si>
    <t>Sensi EUR</t>
  </si>
  <si>
    <t>Sensi USD</t>
  </si>
  <si>
    <t>TOTAL EUR</t>
  </si>
  <si>
    <t>Nominal EUR</t>
  </si>
  <si>
    <t>Nominal USD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</si>
</sst>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2" fillId="0" borderId="0" xfId="0" applyFont="1"/>
    <xf numFmtId="166" fontId="0" fillId="0" borderId="0" xfId="0" applyNumberFormat="1"/>
    <xf numFmtId="165" fontId="0" fillId="2" borderId="0" xfId="1" applyNumberFormat="1" applyFont="1" applyFill="1"/>
    <xf numFmtId="166" fontId="0" fillId="2" borderId="0" xfId="0" applyNumberFormat="1" applyFill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workbookViewId="0">
      <selection activeCell="F16" sqref="F16"/>
    </sheetView>
  </sheetViews>
  <sheetFormatPr baseColWidth="10" defaultRowHeight="14.4"/>
  <cols>
    <col min="2" max="3" width="14.44140625" bestFit="1" customWidth="1"/>
    <col min="4" max="5" width="13.33203125" bestFit="1" customWidth="1"/>
    <col min="6" max="6" width="7.33203125" customWidth="1"/>
  </cols>
  <sheetData>
    <row r="2" spans="1:8">
      <c r="B2" s="4" t="s">
        <v>17</v>
      </c>
      <c r="C2" s="4" t="s">
        <v>18</v>
      </c>
      <c r="G2" s="4" t="s">
        <v>0</v>
      </c>
      <c r="H2">
        <v>1.08785</v>
      </c>
    </row>
    <row r="3" spans="1:8">
      <c r="A3" s="4" t="s">
        <v>8</v>
      </c>
      <c r="B3" s="6">
        <f>-100000000</f>
        <v>-100000000</v>
      </c>
      <c r="C3" s="6">
        <v>109000000</v>
      </c>
      <c r="G3" s="4" t="s">
        <v>2</v>
      </c>
      <c r="H3" s="2">
        <v>4.4999999999999997E-3</v>
      </c>
    </row>
    <row r="4" spans="1:8">
      <c r="A4" s="4" t="s">
        <v>9</v>
      </c>
      <c r="B4" s="6">
        <v>92000000</v>
      </c>
      <c r="C4" s="6">
        <v>-100000000</v>
      </c>
      <c r="G4" s="4" t="s">
        <v>1</v>
      </c>
      <c r="H4" s="2">
        <v>1E-4</v>
      </c>
    </row>
    <row r="5" spans="1:8">
      <c r="B5" s="4" t="s">
        <v>10</v>
      </c>
      <c r="C5" s="4" t="s">
        <v>11</v>
      </c>
      <c r="D5" s="4" t="s">
        <v>12</v>
      </c>
      <c r="E5" s="4" t="s">
        <v>16</v>
      </c>
      <c r="G5" s="4" t="s">
        <v>3</v>
      </c>
      <c r="H5" s="2">
        <v>2.7000000000000001E-3</v>
      </c>
    </row>
    <row r="6" spans="1:8">
      <c r="A6" s="4" t="s">
        <v>8</v>
      </c>
      <c r="B6" s="7">
        <f>B3*H9</f>
        <v>-100260338.29312384</v>
      </c>
      <c r="C6" s="7">
        <f>C3*H10</f>
        <v>108510601.97142319</v>
      </c>
      <c r="D6" s="7">
        <f>B6*$H$2+C6</f>
        <v>-557607.04075157642</v>
      </c>
      <c r="E6" s="7">
        <f>D6/$H$2</f>
        <v>-512577.139083124</v>
      </c>
      <c r="G6" s="4" t="s">
        <v>4</v>
      </c>
      <c r="H6">
        <v>1</v>
      </c>
    </row>
    <row r="7" spans="1:8">
      <c r="A7" s="4" t="s">
        <v>9</v>
      </c>
      <c r="B7" s="7">
        <f>B4*H9</f>
        <v>92239511.229673937</v>
      </c>
      <c r="C7" s="7">
        <f>C4*H10</f>
        <v>-99551010.98295705</v>
      </c>
      <c r="D7" s="7">
        <f>B7*$H$2+C7</f>
        <v>791741.30824373662</v>
      </c>
      <c r="E7" s="7">
        <f>D7/$H$2</f>
        <v>727803.74890263972</v>
      </c>
      <c r="G7" s="4" t="s">
        <v>5</v>
      </c>
      <c r="H7" s="1">
        <v>0.12</v>
      </c>
    </row>
    <row r="8" spans="1:8">
      <c r="A8" s="4" t="s">
        <v>13</v>
      </c>
      <c r="B8" s="7">
        <f>SUM(B6:B7)</f>
        <v>-8020827.0634499043</v>
      </c>
      <c r="C8" s="7">
        <f>SUM(C6:C7)</f>
        <v>8959590.9884661436</v>
      </c>
      <c r="D8" s="7">
        <f>SUM(D6:D7)</f>
        <v>234134.2674921602</v>
      </c>
      <c r="E8" s="7">
        <f>D8/$H$2</f>
        <v>215226.60981951575</v>
      </c>
      <c r="G8" s="4"/>
    </row>
    <row r="9" spans="1:8">
      <c r="B9" s="4" t="s">
        <v>14</v>
      </c>
      <c r="C9" s="4" t="s">
        <v>15</v>
      </c>
      <c r="G9" s="4" t="s">
        <v>6</v>
      </c>
      <c r="H9" s="3">
        <f>EXP(-(H4-H5)*H6)</f>
        <v>1.0026033829312384</v>
      </c>
    </row>
    <row r="10" spans="1:8">
      <c r="A10" s="4" t="s">
        <v>8</v>
      </c>
      <c r="B10" s="5">
        <f>-B3/10000</f>
        <v>10000</v>
      </c>
      <c r="C10" s="5">
        <f>-C3/10000</f>
        <v>-10900</v>
      </c>
      <c r="G10" s="4" t="s">
        <v>7</v>
      </c>
      <c r="H10" s="3">
        <f>EXP(-H3*H6)</f>
        <v>0.99551010982957056</v>
      </c>
    </row>
    <row r="11" spans="1:8">
      <c r="A11" s="4" t="s">
        <v>9</v>
      </c>
      <c r="B11" s="5">
        <f>-B4/10000</f>
        <v>-9200</v>
      </c>
      <c r="C11" s="5">
        <f>-C4/10000</f>
        <v>10000</v>
      </c>
    </row>
    <row r="12" spans="1:8">
      <c r="A12" s="4" t="s">
        <v>13</v>
      </c>
      <c r="B12" s="5">
        <f>B10+B11</f>
        <v>800</v>
      </c>
      <c r="C12" s="5">
        <f>C10+C11</f>
        <v>-900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2015-04-10T09:28:23Z</dcterms:modified>
</cp:coreProperties>
</file>