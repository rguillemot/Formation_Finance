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768" yWindow="348" windowWidth="21780" windowHeight="9216"/>
  </bookViews>
  <sheets>
    <sheet name="CDO" sheetId="1" r:id="rId1"/>
    <sheet name="CDO Sensi" sheetId="4" r:id="rId2"/>
    <sheet name="GaussLegendre" sheetId="2" r:id="rId3"/>
  </sheets>
  <functionGroups/>
  <definedNames>
    <definedName name="GL_points">GaussLegendre!$A$1:$A$101</definedName>
    <definedName name="GL_weights">GaussLegendre!$B$1:$B$101</definedName>
  </definedNames>
  <calcPr calcId="124519"/>
</workbook>
</file>

<file path=xl/calcChain.xml><?xml version="1.0" encoding="utf-8"?>
<calcChain xmlns="http://schemas.openxmlformats.org/spreadsheetml/2006/main">
  <c r="C4" i="4"/>
  <c r="C3"/>
  <c r="C2"/>
  <c r="B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C6"/>
  <c r="D3" l="1"/>
  <c r="B8"/>
  <c r="D6" i="1"/>
  <c r="C6"/>
  <c r="B9" i="4" l="1"/>
  <c r="B7" i="1"/>
  <c r="C7"/>
  <c r="B10" i="4" l="1"/>
  <c r="D7" i="1"/>
  <c r="B8"/>
  <c r="C8"/>
  <c r="B11" i="4" l="1"/>
  <c r="D8" i="1"/>
  <c r="B9"/>
  <c r="C9"/>
  <c r="B12" i="4" l="1"/>
  <c r="B10" i="1"/>
  <c r="D9"/>
  <c r="C10"/>
  <c r="B13" i="4" l="1"/>
  <c r="B11" i="1"/>
  <c r="D10"/>
  <c r="C11"/>
  <c r="B14" i="4" l="1"/>
  <c r="B12" i="1"/>
  <c r="D11"/>
  <c r="C12"/>
  <c r="B15" i="4" l="1"/>
  <c r="B13" i="1"/>
  <c r="D12"/>
  <c r="C13"/>
  <c r="B16" i="4" l="1"/>
  <c r="B14" i="1"/>
  <c r="D13"/>
  <c r="C14"/>
  <c r="B17" i="4" l="1"/>
  <c r="B15" i="1"/>
  <c r="D14"/>
  <c r="C15"/>
  <c r="B18" i="4" l="1"/>
  <c r="B16" i="1"/>
  <c r="D15"/>
  <c r="C16"/>
  <c r="B19" i="4" l="1"/>
  <c r="B17" i="1"/>
  <c r="D16"/>
  <c r="C17"/>
  <c r="B20" i="4" l="1"/>
  <c r="B18" i="1"/>
  <c r="D17"/>
  <c r="C18"/>
  <c r="B21" i="4" l="1"/>
  <c r="B19" i="1"/>
  <c r="D18"/>
  <c r="C19"/>
  <c r="B22" i="4" l="1"/>
  <c r="B20" i="1"/>
  <c r="D19"/>
  <c r="C20"/>
  <c r="B23" i="4" l="1"/>
  <c r="B21" i="1"/>
  <c r="D20"/>
  <c r="C21"/>
  <c r="B24" i="4" l="1"/>
  <c r="B22" i="1"/>
  <c r="D21"/>
  <c r="C22"/>
  <c r="B25" i="4" l="1"/>
  <c r="B23" i="1"/>
  <c r="D22"/>
  <c r="C23"/>
  <c r="B26" i="4" l="1"/>
  <c r="B24" i="1"/>
  <c r="D23"/>
  <c r="C24"/>
  <c r="B27" i="4" l="1"/>
  <c r="B25" i="1"/>
  <c r="D24"/>
  <c r="C25"/>
  <c r="B28" i="4" l="1"/>
  <c r="B26" i="1"/>
  <c r="D25"/>
  <c r="C26"/>
  <c r="B29" i="4" l="1"/>
  <c r="B27" i="1"/>
  <c r="D26"/>
  <c r="C27"/>
  <c r="B30" i="4" l="1"/>
  <c r="B28" i="1"/>
  <c r="D27"/>
  <c r="C28"/>
  <c r="B31" i="4" l="1"/>
  <c r="B29" i="1"/>
  <c r="D28"/>
  <c r="C29"/>
  <c r="B32" i="4" l="1"/>
  <c r="B30" i="1"/>
  <c r="D29"/>
  <c r="C30"/>
  <c r="B33" i="4" l="1"/>
  <c r="B31" i="1"/>
  <c r="D30"/>
  <c r="C31"/>
  <c r="B34" i="4" l="1"/>
  <c r="B32" i="1"/>
  <c r="D31"/>
  <c r="C32"/>
  <c r="B35" i="4" l="1"/>
  <c r="B33" i="1"/>
  <c r="D32"/>
  <c r="C33"/>
  <c r="B36" i="4" l="1"/>
  <c r="B34" i="1"/>
  <c r="D33"/>
  <c r="C34"/>
  <c r="B37" i="4" l="1"/>
  <c r="B35" i="1"/>
  <c r="D34"/>
  <c r="C35"/>
  <c r="B38" i="4" l="1"/>
  <c r="B36" i="1"/>
  <c r="D35"/>
  <c r="C36"/>
  <c r="B39" i="4" l="1"/>
  <c r="B37" i="1"/>
  <c r="D36"/>
  <c r="C37"/>
  <c r="B40" i="4" l="1"/>
  <c r="B38" i="1"/>
  <c r="D37"/>
  <c r="C38"/>
  <c r="B41" i="4" l="1"/>
  <c r="B39" i="1"/>
  <c r="D38"/>
  <c r="C39"/>
  <c r="B42" i="4" l="1"/>
  <c r="B40" i="1"/>
  <c r="D39"/>
  <c r="C40"/>
  <c r="B43" i="4" l="1"/>
  <c r="B41" i="1"/>
  <c r="D40"/>
  <c r="C41"/>
  <c r="B44" i="4" l="1"/>
  <c r="B42" i="1"/>
  <c r="D41"/>
  <c r="C42"/>
  <c r="B45" i="4" l="1"/>
  <c r="B43" i="1"/>
  <c r="D42"/>
  <c r="C43"/>
  <c r="B46" i="4" l="1"/>
  <c r="B44" i="1"/>
  <c r="D43"/>
  <c r="C44"/>
  <c r="B47" i="4" l="1"/>
  <c r="B45" i="1"/>
  <c r="D44"/>
  <c r="C45"/>
  <c r="B48" i="4" l="1"/>
  <c r="B46" i="1"/>
  <c r="D45"/>
  <c r="C46"/>
  <c r="B49" i="4" l="1"/>
  <c r="B47" i="1"/>
  <c r="D46"/>
  <c r="C47"/>
  <c r="B50" i="4" l="1"/>
  <c r="B48" i="1"/>
  <c r="D47"/>
  <c r="C48"/>
  <c r="B51" i="4" l="1"/>
  <c r="B49" i="1"/>
  <c r="D48"/>
  <c r="C49"/>
  <c r="B52" i="4" l="1"/>
  <c r="B50" i="1"/>
  <c r="D49"/>
  <c r="C50"/>
  <c r="B53" i="4" l="1"/>
  <c r="B51" i="1"/>
  <c r="D50"/>
  <c r="C51"/>
  <c r="B54" i="4" l="1"/>
  <c r="B52" i="1"/>
  <c r="D51"/>
  <c r="C52"/>
  <c r="B55" i="4" l="1"/>
  <c r="B53" i="1"/>
  <c r="D52"/>
  <c r="C53"/>
  <c r="B56" i="4" l="1"/>
  <c r="B54" i="1"/>
  <c r="D53"/>
  <c r="C54"/>
  <c r="B57" i="4" l="1"/>
  <c r="B55" i="1"/>
  <c r="D54"/>
  <c r="C55"/>
  <c r="B58" i="4" l="1"/>
  <c r="B56" i="1"/>
  <c r="D55"/>
  <c r="C56"/>
  <c r="B59" i="4" l="1"/>
  <c r="B57" i="1"/>
  <c r="D56"/>
  <c r="C57"/>
  <c r="B60" i="4" l="1"/>
  <c r="B58" i="1"/>
  <c r="D57"/>
  <c r="C58"/>
  <c r="B61" i="4" l="1"/>
  <c r="B59" i="1"/>
  <c r="D58"/>
  <c r="C59"/>
  <c r="B62" i="4" l="1"/>
  <c r="B60" i="1"/>
  <c r="D59"/>
  <c r="C60"/>
  <c r="B63" i="4" l="1"/>
  <c r="B61" i="1"/>
  <c r="D60"/>
  <c r="C61"/>
  <c r="B64" i="4" l="1"/>
  <c r="B62" i="1"/>
  <c r="D61"/>
  <c r="C62"/>
  <c r="B65" i="4" l="1"/>
  <c r="B63" i="1"/>
  <c r="D62"/>
  <c r="C63"/>
  <c r="B66" i="4" l="1"/>
  <c r="B64" i="1"/>
  <c r="D63"/>
  <c r="C64"/>
  <c r="B67" i="4" l="1"/>
  <c r="B65" i="1"/>
  <c r="D64"/>
  <c r="C65"/>
  <c r="B68" i="4" l="1"/>
  <c r="B66" i="1"/>
  <c r="D65"/>
  <c r="C66"/>
  <c r="B69" i="4" l="1"/>
  <c r="B67" i="1"/>
  <c r="D66"/>
  <c r="C67"/>
  <c r="B70" i="4" l="1"/>
  <c r="B68" i="1"/>
  <c r="D67"/>
  <c r="C68"/>
  <c r="B71" i="4" l="1"/>
  <c r="B69" i="1"/>
  <c r="D68"/>
  <c r="C69"/>
  <c r="B72" i="4" l="1"/>
  <c r="B70" i="1"/>
  <c r="D69"/>
  <c r="C70"/>
  <c r="B73" i="4" l="1"/>
  <c r="B71" i="1"/>
  <c r="D70"/>
  <c r="C71"/>
  <c r="B74" i="4" l="1"/>
  <c r="B72" i="1"/>
  <c r="D71"/>
  <c r="C72"/>
  <c r="B75" i="4" l="1"/>
  <c r="B73" i="1"/>
  <c r="D72"/>
  <c r="C73"/>
  <c r="B76" i="4" l="1"/>
  <c r="B74" i="1"/>
  <c r="D73"/>
  <c r="C74"/>
  <c r="B77" i="4" l="1"/>
  <c r="B75" i="1"/>
  <c r="D74"/>
  <c r="C75"/>
  <c r="B78" i="4" l="1"/>
  <c r="B76" i="1"/>
  <c r="D75"/>
  <c r="C76"/>
  <c r="B79" i="4" l="1"/>
  <c r="B77" i="1"/>
  <c r="D76"/>
  <c r="C77"/>
  <c r="B80" i="4" l="1"/>
  <c r="B78" i="1"/>
  <c r="D77"/>
  <c r="C78"/>
  <c r="B81" i="4" l="1"/>
  <c r="B79" i="1"/>
  <c r="D78"/>
  <c r="C79"/>
  <c r="B82" i="4" l="1"/>
  <c r="B80" i="1"/>
  <c r="D79"/>
  <c r="C80"/>
  <c r="B83" i="4" l="1"/>
  <c r="B81" i="1"/>
  <c r="D80"/>
  <c r="C81"/>
  <c r="B84" i="4" l="1"/>
  <c r="B82" i="1"/>
  <c r="D81"/>
  <c r="C82"/>
  <c r="B85" i="4" l="1"/>
  <c r="B83" i="1"/>
  <c r="D82"/>
  <c r="C83"/>
  <c r="B86" i="4" l="1"/>
  <c r="B84" i="1"/>
  <c r="D83"/>
  <c r="C84"/>
  <c r="B87" i="4" l="1"/>
  <c r="B85" i="1"/>
  <c r="D84"/>
  <c r="C85"/>
  <c r="B88" i="4" l="1"/>
  <c r="B86" i="1"/>
  <c r="D85"/>
  <c r="C86"/>
  <c r="B89" i="4" l="1"/>
  <c r="B87" i="1"/>
  <c r="D86"/>
  <c r="C87"/>
  <c r="B90" i="4" l="1"/>
  <c r="B88" i="1"/>
  <c r="D87"/>
  <c r="C88"/>
  <c r="B91" i="4" l="1"/>
  <c r="B89" i="1"/>
  <c r="D88"/>
  <c r="C89"/>
  <c r="B92" i="4" l="1"/>
  <c r="B90" i="1"/>
  <c r="D89"/>
  <c r="C90"/>
  <c r="B93" i="4" l="1"/>
  <c r="B91" i="1"/>
  <c r="D90"/>
  <c r="C91"/>
  <c r="B94" i="4" l="1"/>
  <c r="B92" i="1"/>
  <c r="D91"/>
  <c r="C92"/>
  <c r="B95" i="4" l="1"/>
  <c r="B93" i="1"/>
  <c r="D92"/>
  <c r="C93"/>
  <c r="B96" i="4" l="1"/>
  <c r="B94" i="1"/>
  <c r="D93"/>
  <c r="C94"/>
  <c r="B97" i="4" l="1"/>
  <c r="B95" i="1"/>
  <c r="D94"/>
  <c r="C95"/>
  <c r="B98" i="4" l="1"/>
  <c r="B96" i="1"/>
  <c r="D95"/>
  <c r="C96"/>
  <c r="B99" i="4" l="1"/>
  <c r="B97" i="1"/>
  <c r="D96"/>
  <c r="C97"/>
  <c r="B100" i="4" l="1"/>
  <c r="B98" i="1"/>
  <c r="D97"/>
  <c r="C98"/>
  <c r="B101" i="4" l="1"/>
  <c r="B99" i="1"/>
  <c r="D98"/>
  <c r="C99"/>
  <c r="B102" i="4" l="1"/>
  <c r="B100" i="1"/>
  <c r="D99"/>
  <c r="C100"/>
  <c r="B103" i="4" l="1"/>
  <c r="B101" i="1"/>
  <c r="D100"/>
  <c r="C101"/>
  <c r="B104" i="4" l="1"/>
  <c r="D101" i="1"/>
  <c r="B102"/>
  <c r="C102"/>
  <c r="B105" i="4" l="1"/>
  <c r="D102" i="1"/>
  <c r="B103"/>
  <c r="C103"/>
  <c r="B106" i="4" l="1"/>
  <c r="B104" i="1"/>
  <c r="D103"/>
  <c r="C104"/>
  <c r="D104" l="1"/>
  <c r="B105"/>
  <c r="C105"/>
  <c r="D105" l="1"/>
  <c r="B106"/>
  <c r="C106"/>
  <c r="D3" l="1"/>
  <c r="D106"/>
  <c r="H8"/>
  <c r="H9"/>
  <c r="H10"/>
  <c r="H11"/>
  <c r="H12"/>
  <c r="H7"/>
  <c r="I7" i="4"/>
  <c r="H7"/>
  <c r="I8"/>
  <c r="H8"/>
  <c r="I9"/>
  <c r="H9"/>
  <c r="I10"/>
  <c r="H10"/>
  <c r="I11"/>
  <c r="H11"/>
  <c r="I6"/>
  <c r="H6"/>
  <c r="J6" l="1"/>
  <c r="K6"/>
  <c r="J11"/>
  <c r="K11"/>
  <c r="J10"/>
  <c r="K10"/>
  <c r="J9"/>
  <c r="K9"/>
  <c r="J8"/>
  <c r="K8"/>
  <c r="J7"/>
  <c r="K7"/>
  <c r="I7" i="1"/>
  <c r="I12"/>
  <c r="I11"/>
  <c r="I10"/>
  <c r="I9"/>
  <c r="I8"/>
  <c r="K12" i="4" l="1"/>
  <c r="J12"/>
  <c r="I13" i="1"/>
  <c r="J8" s="1"/>
  <c r="J12" l="1"/>
  <c r="J11"/>
  <c r="J7"/>
  <c r="J9"/>
  <c r="J10"/>
</calcChain>
</file>

<file path=xl/sharedStrings.xml><?xml version="1.0" encoding="utf-8"?>
<sst xmlns="http://schemas.openxmlformats.org/spreadsheetml/2006/main" count="30" uniqueCount="18">
  <si>
    <t>N</t>
  </si>
  <si>
    <t>rho</t>
  </si>
  <si>
    <t>p</t>
  </si>
  <si>
    <t>Proba</t>
  </si>
  <si>
    <t>Loss</t>
  </si>
  <si>
    <t>TOTAL</t>
  </si>
  <si>
    <t>Par Tranche</t>
  </si>
  <si>
    <t>% du TOTAL</t>
  </si>
  <si>
    <t>Expected Loss</t>
  </si>
  <si>
    <t>p + 1%</t>
  </si>
  <si>
    <t>rho + 1%</t>
  </si>
  <si>
    <t>Sensi def</t>
  </si>
  <si>
    <t>Sensi rho</t>
  </si>
  <si>
    <t>a</t>
  </si>
  <si>
    <t>d</t>
  </si>
  <si>
    <t>Tranche</t>
  </si>
  <si>
    <t>NToDefault</t>
  </si>
  <si>
    <t>% Loss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</si>
</sst>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1" fontId="0" fillId="0" borderId="0" xfId="0" applyNumberFormat="1"/>
    <xf numFmtId="9" fontId="0" fillId="0" borderId="0" xfId="0" applyNumberFormat="1"/>
    <xf numFmtId="0" fontId="2" fillId="0" borderId="0" xfId="0" applyFont="1"/>
    <xf numFmtId="9" fontId="2" fillId="0" borderId="0" xfId="0" applyNumberFormat="1" applyFont="1"/>
    <xf numFmtId="9" fontId="0" fillId="0" borderId="0" xfId="1" applyFont="1"/>
    <xf numFmtId="0" fontId="2" fillId="0" borderId="1" xfId="0" applyFont="1" applyBorder="1"/>
    <xf numFmtId="9" fontId="0" fillId="0" borderId="1" xfId="0" applyNumberFormat="1" applyBorder="1"/>
    <xf numFmtId="10" fontId="0" fillId="0" borderId="1" xfId="1" applyNumberFormat="1" applyFont="1" applyBorder="1"/>
    <xf numFmtId="0" fontId="0" fillId="0" borderId="1" xfId="0" applyBorder="1"/>
    <xf numFmtId="10" fontId="0" fillId="0" borderId="1" xfId="0" applyNumberFormat="1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0" fontId="0" fillId="0" borderId="4" xfId="1" applyNumberFormat="1" applyFont="1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Fill="1" applyBorder="1"/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2:J106"/>
  <sheetViews>
    <sheetView tabSelected="1" zoomScale="200" zoomScaleNormal="200" workbookViewId="0">
      <selection activeCell="I2" sqref="I2"/>
    </sheetView>
  </sheetViews>
  <sheetFormatPr baseColWidth="10" defaultRowHeight="14.4"/>
  <cols>
    <col min="1" max="1" width="2.5546875" customWidth="1"/>
    <col min="6" max="6" width="4.44140625" bestFit="1" customWidth="1"/>
    <col min="7" max="7" width="5.44140625" bestFit="1" customWidth="1"/>
    <col min="8" max="9" width="11" bestFit="1" customWidth="1"/>
    <col min="10" max="10" width="7" bestFit="1" customWidth="1"/>
  </cols>
  <sheetData>
    <row r="2" spans="2:10">
      <c r="B2" s="3" t="s">
        <v>0</v>
      </c>
      <c r="C2">
        <v>100</v>
      </c>
    </row>
    <row r="3" spans="2:10">
      <c r="B3" s="3" t="s">
        <v>2</v>
      </c>
      <c r="C3" s="2">
        <v>0.05</v>
      </c>
      <c r="D3">
        <f>SUM(C6:C106)</f>
        <v>0.9999999980268256</v>
      </c>
    </row>
    <row r="4" spans="2:10">
      <c r="B4" s="3" t="s">
        <v>1</v>
      </c>
      <c r="C4" s="2">
        <v>0.4</v>
      </c>
    </row>
    <row r="5" spans="2:10">
      <c r="B5" s="3" t="s">
        <v>16</v>
      </c>
      <c r="C5" s="4" t="s">
        <v>3</v>
      </c>
      <c r="D5" s="3" t="s">
        <v>4</v>
      </c>
      <c r="F5" s="11" t="s">
        <v>15</v>
      </c>
      <c r="G5" s="12"/>
      <c r="H5" s="14" t="s">
        <v>8</v>
      </c>
      <c r="I5" s="14"/>
    </row>
    <row r="6" spans="2:10">
      <c r="B6">
        <v>0</v>
      </c>
      <c r="C6" s="5">
        <f>OneFactorGaussianCopula($C$2,B6,$C$3,$C$4)</f>
        <v>0.1172562429227377</v>
      </c>
      <c r="D6" s="5">
        <f>B6/$C$2</f>
        <v>0</v>
      </c>
      <c r="F6" s="6" t="s">
        <v>13</v>
      </c>
      <c r="G6" s="6" t="s">
        <v>14</v>
      </c>
      <c r="H6" s="6" t="s">
        <v>6</v>
      </c>
      <c r="I6" s="6" t="s">
        <v>7</v>
      </c>
      <c r="J6" s="16" t="s">
        <v>17</v>
      </c>
    </row>
    <row r="7" spans="2:10">
      <c r="B7">
        <f>B6+1</f>
        <v>1</v>
      </c>
      <c r="C7" s="5">
        <f t="shared" ref="C7:C70" si="0">OneFactorGaussianCopula($C$2,B7,$C$3,$C$4)</f>
        <v>0.13889235834670477</v>
      </c>
      <c r="D7" s="5">
        <f t="shared" ref="D7:D70" si="1">B7/$C$2</f>
        <v>0.01</v>
      </c>
      <c r="F7" s="7">
        <v>0</v>
      </c>
      <c r="G7" s="7">
        <v>0.03</v>
      </c>
      <c r="H7" s="8">
        <f>ExpectedLoss($C$6:$C$106,$D$6:$D$106,F7,G7)</f>
        <v>0.74713943745927502</v>
      </c>
      <c r="I7" s="8">
        <f>H7*(G7-F7)</f>
        <v>2.2414183123778249E-2</v>
      </c>
      <c r="J7" s="10">
        <f>I7/$I$13</f>
        <v>0.44828366967179534</v>
      </c>
    </row>
    <row r="8" spans="2:10">
      <c r="B8">
        <f t="shared" ref="B8:B71" si="2">B7+1</f>
        <v>2</v>
      </c>
      <c r="C8" s="5">
        <f t="shared" si="0"/>
        <v>0.12902823624102863</v>
      </c>
      <c r="D8" s="5">
        <f t="shared" si="1"/>
        <v>0.02</v>
      </c>
      <c r="F8" s="7">
        <v>0.03</v>
      </c>
      <c r="G8" s="7">
        <v>7.0000000000000007E-2</v>
      </c>
      <c r="H8" s="8">
        <f t="shared" ref="H8:H12" si="3">ExpectedLoss($C$6:$C$106,$D$6:$D$106,F8,G8)</f>
        <v>0.38108600387722763</v>
      </c>
      <c r="I8" s="8">
        <f t="shared" ref="I8:I12" si="4">H8*(G8-F8)</f>
        <v>1.5243440155089109E-2</v>
      </c>
      <c r="J8" s="10">
        <f>I8/$I$13</f>
        <v>0.3048688079957953</v>
      </c>
    </row>
    <row r="9" spans="2:10">
      <c r="B9">
        <f t="shared" si="2"/>
        <v>3</v>
      </c>
      <c r="C9" s="5">
        <f t="shared" si="0"/>
        <v>0.11096005646208872</v>
      </c>
      <c r="D9" s="5">
        <f t="shared" si="1"/>
        <v>0.03</v>
      </c>
      <c r="F9" s="7">
        <v>7.0000000000000007E-2</v>
      </c>
      <c r="G9" s="7">
        <v>0.1</v>
      </c>
      <c r="H9" s="8">
        <f t="shared" si="3"/>
        <v>0.18478677983396116</v>
      </c>
      <c r="I9" s="8">
        <f t="shared" si="4"/>
        <v>5.5436033950188347E-3</v>
      </c>
      <c r="J9" s="10">
        <f>I9/$I$13</f>
        <v>0.11087206968018937</v>
      </c>
    </row>
    <row r="10" spans="2:10">
      <c r="B10">
        <f t="shared" si="2"/>
        <v>4</v>
      </c>
      <c r="C10" s="5">
        <f t="shared" si="0"/>
        <v>9.2445587329046272E-2</v>
      </c>
      <c r="D10" s="5">
        <f t="shared" si="1"/>
        <v>0.04</v>
      </c>
      <c r="F10" s="7">
        <v>0.1</v>
      </c>
      <c r="G10" s="7">
        <v>0.15</v>
      </c>
      <c r="H10" s="8">
        <f t="shared" si="3"/>
        <v>8.5125858351186939E-2</v>
      </c>
      <c r="I10" s="8">
        <f t="shared" si="4"/>
        <v>4.2562929175593463E-3</v>
      </c>
      <c r="J10" s="10">
        <f>I10/$I$13</f>
        <v>8.5125859717699551E-2</v>
      </c>
    </row>
    <row r="11" spans="2:10">
      <c r="B11">
        <f t="shared" si="2"/>
        <v>5</v>
      </c>
      <c r="C11" s="5">
        <f t="shared" si="0"/>
        <v>7.5919107191162474E-2</v>
      </c>
      <c r="D11" s="5">
        <f t="shared" si="1"/>
        <v>0.05</v>
      </c>
      <c r="F11" s="7">
        <v>0.15</v>
      </c>
      <c r="G11" s="7">
        <v>0.3</v>
      </c>
      <c r="H11" s="8">
        <f t="shared" si="3"/>
        <v>1.6085253053648621E-2</v>
      </c>
      <c r="I11" s="8">
        <f t="shared" si="4"/>
        <v>2.412787958047293E-3</v>
      </c>
      <c r="J11" s="10">
        <f>I11/$I$13</f>
        <v>4.8255759935588317E-2</v>
      </c>
    </row>
    <row r="12" spans="2:10">
      <c r="B12">
        <f t="shared" si="2"/>
        <v>6</v>
      </c>
      <c r="C12" s="5">
        <f t="shared" si="0"/>
        <v>6.1933424338690715E-2</v>
      </c>
      <c r="D12" s="5">
        <f t="shared" si="1"/>
        <v>0.06</v>
      </c>
      <c r="F12" s="7">
        <v>0.3</v>
      </c>
      <c r="G12" s="7">
        <v>1</v>
      </c>
      <c r="H12" s="8">
        <f t="shared" si="3"/>
        <v>1.8527378266384279E-4</v>
      </c>
      <c r="I12" s="8">
        <f t="shared" si="4"/>
        <v>1.2969164786468996E-4</v>
      </c>
      <c r="J12" s="10">
        <f>I12/$I$13</f>
        <v>2.5938329989322103E-3</v>
      </c>
    </row>
    <row r="13" spans="2:10">
      <c r="B13">
        <f t="shared" si="2"/>
        <v>7</v>
      </c>
      <c r="C13" s="5">
        <f t="shared" si="0"/>
        <v>5.0381230402622046E-2</v>
      </c>
      <c r="D13" s="5">
        <f t="shared" si="1"/>
        <v>7.0000000000000007E-2</v>
      </c>
      <c r="F13" s="9"/>
      <c r="G13" s="9"/>
      <c r="H13" s="6" t="s">
        <v>5</v>
      </c>
      <c r="I13" s="10">
        <f>SUM(I7:I12)</f>
        <v>4.9999999197357516E-2</v>
      </c>
    </row>
    <row r="14" spans="2:10">
      <c r="B14">
        <f t="shared" si="2"/>
        <v>8</v>
      </c>
      <c r="C14" s="5">
        <f t="shared" si="0"/>
        <v>4.0949642353035082E-2</v>
      </c>
      <c r="D14" s="5">
        <f t="shared" si="1"/>
        <v>0.08</v>
      </c>
    </row>
    <row r="15" spans="2:10">
      <c r="B15">
        <f t="shared" si="2"/>
        <v>9</v>
      </c>
      <c r="C15" s="5">
        <f t="shared" si="0"/>
        <v>3.3291640170280565E-2</v>
      </c>
      <c r="D15" s="5">
        <f t="shared" si="1"/>
        <v>0.09</v>
      </c>
      <c r="G15" s="3"/>
      <c r="H15" s="3"/>
    </row>
    <row r="16" spans="2:10">
      <c r="B16">
        <f t="shared" si="2"/>
        <v>10</v>
      </c>
      <c r="C16" s="5">
        <f t="shared" si="0"/>
        <v>2.7087772124219006E-2</v>
      </c>
      <c r="D16" s="5">
        <f t="shared" si="1"/>
        <v>0.1</v>
      </c>
    </row>
    <row r="17" spans="2:4">
      <c r="B17">
        <f t="shared" si="2"/>
        <v>11</v>
      </c>
      <c r="C17" s="5">
        <f t="shared" si="0"/>
        <v>2.2064362674085316E-2</v>
      </c>
      <c r="D17" s="5">
        <f t="shared" si="1"/>
        <v>0.11</v>
      </c>
    </row>
    <row r="18" spans="2:4">
      <c r="B18">
        <f t="shared" si="2"/>
        <v>12</v>
      </c>
      <c r="C18" s="5">
        <f t="shared" si="0"/>
        <v>1.7994726637682652E-2</v>
      </c>
      <c r="D18" s="5">
        <f t="shared" si="1"/>
        <v>0.12</v>
      </c>
    </row>
    <row r="19" spans="2:4">
      <c r="B19">
        <f t="shared" si="2"/>
        <v>13</v>
      </c>
      <c r="C19" s="5">
        <f t="shared" si="0"/>
        <v>1.4694278861392164E-2</v>
      </c>
      <c r="D19" s="5">
        <f t="shared" si="1"/>
        <v>0.13</v>
      </c>
    </row>
    <row r="20" spans="2:4">
      <c r="B20">
        <f t="shared" si="2"/>
        <v>14</v>
      </c>
      <c r="C20" s="5">
        <f t="shared" si="0"/>
        <v>1.201402063794235E-2</v>
      </c>
      <c r="D20" s="5">
        <f t="shared" si="1"/>
        <v>0.14000000000000001</v>
      </c>
    </row>
    <row r="21" spans="2:4">
      <c r="B21">
        <f t="shared" si="2"/>
        <v>15</v>
      </c>
      <c r="C21" s="5">
        <f t="shared" si="0"/>
        <v>9.8341797807390916E-3</v>
      </c>
      <c r="D21" s="5">
        <f t="shared" si="1"/>
        <v>0.15</v>
      </c>
    </row>
    <row r="22" spans="2:4">
      <c r="B22">
        <f t="shared" si="2"/>
        <v>16</v>
      </c>
      <c r="C22" s="5">
        <f t="shared" si="0"/>
        <v>8.0586281930100871E-3</v>
      </c>
      <c r="D22" s="5">
        <f t="shared" si="1"/>
        <v>0.16</v>
      </c>
    </row>
    <row r="23" spans="2:4">
      <c r="B23">
        <f t="shared" si="2"/>
        <v>17</v>
      </c>
      <c r="C23" s="5">
        <f t="shared" si="0"/>
        <v>6.6102160706335211E-3</v>
      </c>
      <c r="D23" s="5">
        <f t="shared" si="1"/>
        <v>0.17</v>
      </c>
    </row>
    <row r="24" spans="2:4">
      <c r="B24">
        <f t="shared" si="2"/>
        <v>18</v>
      </c>
      <c r="C24" s="5">
        <f t="shared" si="0"/>
        <v>5.4269695047870449E-3</v>
      </c>
      <c r="D24" s="5">
        <f t="shared" si="1"/>
        <v>0.18</v>
      </c>
    </row>
    <row r="25" spans="2:4">
      <c r="B25">
        <f t="shared" si="2"/>
        <v>19</v>
      </c>
      <c r="C25" s="5">
        <f t="shared" si="0"/>
        <v>4.4590335053631205E-3</v>
      </c>
      <c r="D25" s="5">
        <f t="shared" si="1"/>
        <v>0.19</v>
      </c>
    </row>
    <row r="26" spans="2:4">
      <c r="B26">
        <f t="shared" si="2"/>
        <v>20</v>
      </c>
      <c r="C26" s="5">
        <f t="shared" si="0"/>
        <v>3.6662319305128714E-3</v>
      </c>
      <c r="D26" s="5">
        <f t="shared" si="1"/>
        <v>0.2</v>
      </c>
    </row>
    <row r="27" spans="2:4">
      <c r="B27">
        <f t="shared" si="2"/>
        <v>21</v>
      </c>
      <c r="C27" s="5">
        <f t="shared" si="0"/>
        <v>3.0161265768286752E-3</v>
      </c>
      <c r="D27" s="5">
        <f t="shared" si="1"/>
        <v>0.21</v>
      </c>
    </row>
    <row r="28" spans="2:4">
      <c r="B28">
        <f t="shared" si="2"/>
        <v>22</v>
      </c>
      <c r="C28" s="5">
        <f t="shared" si="0"/>
        <v>2.4824751799267589E-3</v>
      </c>
      <c r="D28" s="5">
        <f t="shared" si="1"/>
        <v>0.22</v>
      </c>
    </row>
    <row r="29" spans="2:4">
      <c r="B29">
        <f t="shared" si="2"/>
        <v>23</v>
      </c>
      <c r="C29" s="5">
        <f t="shared" si="0"/>
        <v>2.0440060887796673E-3</v>
      </c>
      <c r="D29" s="5">
        <f t="shared" si="1"/>
        <v>0.23</v>
      </c>
    </row>
    <row r="30" spans="2:4">
      <c r="B30">
        <f t="shared" si="2"/>
        <v>24</v>
      </c>
      <c r="C30" s="5">
        <f t="shared" si="0"/>
        <v>1.6834435163245506E-3</v>
      </c>
      <c r="D30" s="5">
        <f t="shared" si="1"/>
        <v>0.24</v>
      </c>
    </row>
    <row r="31" spans="2:4">
      <c r="B31">
        <f t="shared" si="2"/>
        <v>25</v>
      </c>
      <c r="C31" s="5">
        <f t="shared" si="0"/>
        <v>1.3867308451223604E-3</v>
      </c>
      <c r="D31" s="5">
        <f t="shared" si="1"/>
        <v>0.25</v>
      </c>
    </row>
    <row r="32" spans="2:4">
      <c r="B32">
        <f t="shared" si="2"/>
        <v>26</v>
      </c>
      <c r="C32" s="5">
        <f t="shared" si="0"/>
        <v>1.1424105145542653E-3</v>
      </c>
      <c r="D32" s="5">
        <f t="shared" si="1"/>
        <v>0.26</v>
      </c>
    </row>
    <row r="33" spans="2:4">
      <c r="B33">
        <f t="shared" si="2"/>
        <v>27</v>
      </c>
      <c r="C33" s="5">
        <f t="shared" si="0"/>
        <v>9.4112784023391699E-4</v>
      </c>
      <c r="D33" s="5">
        <f t="shared" si="1"/>
        <v>0.27</v>
      </c>
    </row>
    <row r="34" spans="2:4">
      <c r="B34">
        <f t="shared" si="2"/>
        <v>28</v>
      </c>
      <c r="C34" s="5">
        <f t="shared" si="0"/>
        <v>7.7523308994172308E-4</v>
      </c>
      <c r="D34" s="5">
        <f t="shared" si="1"/>
        <v>0.28000000000000003</v>
      </c>
    </row>
    <row r="35" spans="2:4">
      <c r="B35">
        <f t="shared" si="2"/>
        <v>29</v>
      </c>
      <c r="C35" s="5">
        <f t="shared" si="0"/>
        <v>6.3846161916307302E-4</v>
      </c>
      <c r="D35" s="5">
        <f t="shared" si="1"/>
        <v>0.28999999999999998</v>
      </c>
    </row>
    <row r="36" spans="2:4">
      <c r="B36">
        <f t="shared" si="2"/>
        <v>30</v>
      </c>
      <c r="C36" s="5">
        <f t="shared" si="0"/>
        <v>5.256761610824334E-4</v>
      </c>
      <c r="D36" s="5">
        <f t="shared" si="1"/>
        <v>0.3</v>
      </c>
    </row>
    <row r="37" spans="2:4">
      <c r="B37">
        <f t="shared" si="2"/>
        <v>31</v>
      </c>
      <c r="C37" s="5">
        <f t="shared" si="0"/>
        <v>4.3265872441903625E-4</v>
      </c>
      <c r="D37" s="5">
        <f t="shared" si="1"/>
        <v>0.31</v>
      </c>
    </row>
    <row r="38" spans="2:4">
      <c r="B38">
        <f t="shared" si="2"/>
        <v>32</v>
      </c>
      <c r="C38" s="5">
        <f t="shared" si="0"/>
        <v>3.5594218139015115E-4</v>
      </c>
      <c r="D38" s="5">
        <f t="shared" si="1"/>
        <v>0.32</v>
      </c>
    </row>
    <row r="39" spans="2:4">
      <c r="B39">
        <f t="shared" si="2"/>
        <v>33</v>
      </c>
      <c r="C39" s="5">
        <f t="shared" si="0"/>
        <v>2.9267368813909564E-4</v>
      </c>
      <c r="D39" s="5">
        <f t="shared" si="1"/>
        <v>0.33</v>
      </c>
    </row>
    <row r="40" spans="2:4">
      <c r="B40">
        <f t="shared" si="2"/>
        <v>34</v>
      </c>
      <c r="C40" s="5">
        <f t="shared" si="0"/>
        <v>2.4050369696116029E-4</v>
      </c>
      <c r="D40" s="5">
        <f t="shared" si="1"/>
        <v>0.34</v>
      </c>
    </row>
    <row r="41" spans="2:4">
      <c r="B41">
        <f t="shared" si="2"/>
        <v>35</v>
      </c>
      <c r="C41" s="5">
        <f t="shared" si="0"/>
        <v>1.9749559149736905E-4</v>
      </c>
      <c r="D41" s="5">
        <f t="shared" si="1"/>
        <v>0.35</v>
      </c>
    </row>
    <row r="42" spans="2:4">
      <c r="B42">
        <f t="shared" si="2"/>
        <v>36</v>
      </c>
      <c r="C42" s="5">
        <f t="shared" si="0"/>
        <v>1.6205197872271767E-4</v>
      </c>
      <c r="D42" s="5">
        <f t="shared" si="1"/>
        <v>0.36</v>
      </c>
    </row>
    <row r="43" spans="2:4">
      <c r="B43">
        <f t="shared" si="2"/>
        <v>37</v>
      </c>
      <c r="C43" s="5">
        <f t="shared" si="0"/>
        <v>1.328544639431861E-4</v>
      </c>
      <c r="D43" s="5">
        <f t="shared" si="1"/>
        <v>0.37</v>
      </c>
    </row>
    <row r="44" spans="2:4">
      <c r="B44">
        <f t="shared" si="2"/>
        <v>38</v>
      </c>
      <c r="C44" s="5">
        <f t="shared" si="0"/>
        <v>1.0881436282061869E-4</v>
      </c>
      <c r="D44" s="5">
        <f t="shared" si="1"/>
        <v>0.38</v>
      </c>
    </row>
    <row r="45" spans="2:4">
      <c r="B45">
        <f t="shared" si="2"/>
        <v>39</v>
      </c>
      <c r="C45" s="5">
        <f t="shared" si="0"/>
        <v>8.9032303132502427E-5</v>
      </c>
      <c r="D45" s="5">
        <f t="shared" si="1"/>
        <v>0.39</v>
      </c>
    </row>
    <row r="46" spans="2:4">
      <c r="B46">
        <f t="shared" si="2"/>
        <v>40</v>
      </c>
      <c r="C46" s="5">
        <f t="shared" si="0"/>
        <v>7.2765066120415633E-5</v>
      </c>
      <c r="D46" s="5">
        <f t="shared" si="1"/>
        <v>0.4</v>
      </c>
    </row>
    <row r="47" spans="2:4">
      <c r="B47">
        <f t="shared" si="2"/>
        <v>41</v>
      </c>
      <c r="C47" s="5">
        <f t="shared" si="0"/>
        <v>5.9398334369404597E-5</v>
      </c>
      <c r="D47" s="5">
        <f t="shared" si="1"/>
        <v>0.41</v>
      </c>
    </row>
    <row r="48" spans="2:4">
      <c r="B48">
        <f t="shared" si="2"/>
        <v>42</v>
      </c>
      <c r="C48" s="5">
        <f t="shared" si="0"/>
        <v>4.8424266964580206E-5</v>
      </c>
      <c r="D48" s="5">
        <f t="shared" si="1"/>
        <v>0.42</v>
      </c>
    </row>
    <row r="49" spans="2:4">
      <c r="B49">
        <f t="shared" si="2"/>
        <v>43</v>
      </c>
      <c r="C49" s="5">
        <f t="shared" si="0"/>
        <v>3.9423026319527577E-5</v>
      </c>
      <c r="D49" s="5">
        <f t="shared" si="1"/>
        <v>0.43</v>
      </c>
    </row>
    <row r="50" spans="2:4">
      <c r="B50">
        <f t="shared" si="2"/>
        <v>44</v>
      </c>
      <c r="C50" s="5">
        <f t="shared" si="0"/>
        <v>3.2047544865260217E-5</v>
      </c>
      <c r="D50" s="5">
        <f t="shared" si="1"/>
        <v>0.44</v>
      </c>
    </row>
    <row r="51" spans="2:4">
      <c r="B51">
        <f t="shared" si="2"/>
        <v>45</v>
      </c>
      <c r="C51" s="5">
        <f t="shared" si="0"/>
        <v>2.6010951832752725E-5</v>
      </c>
      <c r="D51" s="5">
        <f t="shared" si="1"/>
        <v>0.45</v>
      </c>
    </row>
    <row r="52" spans="2:4">
      <c r="B52">
        <f t="shared" si="2"/>
        <v>46</v>
      </c>
      <c r="C52" s="5">
        <f t="shared" si="0"/>
        <v>2.1076187048929954E-5</v>
      </c>
      <c r="D52" s="5">
        <f t="shared" si="1"/>
        <v>0.46</v>
      </c>
    </row>
    <row r="53" spans="2:4">
      <c r="B53">
        <f t="shared" si="2"/>
        <v>47</v>
      </c>
      <c r="C53" s="5">
        <f t="shared" si="0"/>
        <v>1.7047415050702833E-5</v>
      </c>
      <c r="D53" s="5">
        <f t="shared" si="1"/>
        <v>0.47</v>
      </c>
    </row>
    <row r="54" spans="2:4">
      <c r="B54">
        <f t="shared" si="2"/>
        <v>48</v>
      </c>
      <c r="C54" s="5">
        <f t="shared" si="0"/>
        <v>1.3762922912550175E-5</v>
      </c>
      <c r="D54" s="5">
        <f t="shared" si="1"/>
        <v>0.48</v>
      </c>
    </row>
    <row r="55" spans="2:4">
      <c r="B55">
        <f t="shared" si="2"/>
        <v>49</v>
      </c>
      <c r="C55" s="5">
        <f t="shared" si="0"/>
        <v>1.1089242166624529E-5</v>
      </c>
      <c r="D55" s="5">
        <f t="shared" si="1"/>
        <v>0.49</v>
      </c>
    </row>
    <row r="56" spans="2:4">
      <c r="B56">
        <f t="shared" si="2"/>
        <v>50</v>
      </c>
      <c r="C56" s="5">
        <f t="shared" si="0"/>
        <v>8.916281609734371E-6</v>
      </c>
      <c r="D56" s="5">
        <f t="shared" si="1"/>
        <v>0.5</v>
      </c>
    </row>
    <row r="57" spans="2:4">
      <c r="B57">
        <f t="shared" si="2"/>
        <v>51</v>
      </c>
      <c r="C57" s="5">
        <f t="shared" si="0"/>
        <v>7.1532956675452269E-6</v>
      </c>
      <c r="D57" s="5">
        <f t="shared" si="1"/>
        <v>0.51</v>
      </c>
    </row>
    <row r="58" spans="2:4">
      <c r="B58">
        <f t="shared" si="2"/>
        <v>52</v>
      </c>
      <c r="C58" s="5">
        <f t="shared" si="0"/>
        <v>5.7255439476127469E-6</v>
      </c>
      <c r="D58" s="5">
        <f t="shared" si="1"/>
        <v>0.52</v>
      </c>
    </row>
    <row r="59" spans="2:4">
      <c r="B59">
        <f t="shared" si="2"/>
        <v>53</v>
      </c>
      <c r="C59" s="5">
        <f t="shared" si="0"/>
        <v>4.5715229635634232E-6</v>
      </c>
      <c r="D59" s="5">
        <f t="shared" si="1"/>
        <v>0.53</v>
      </c>
    </row>
    <row r="60" spans="2:4">
      <c r="B60">
        <f t="shared" si="2"/>
        <v>54</v>
      </c>
      <c r="C60" s="5">
        <f t="shared" si="0"/>
        <v>3.6406718021401976E-6</v>
      </c>
      <c r="D60" s="5">
        <f t="shared" si="1"/>
        <v>0.54</v>
      </c>
    </row>
    <row r="61" spans="2:4">
      <c r="B61">
        <f t="shared" si="2"/>
        <v>55</v>
      </c>
      <c r="C61" s="5">
        <f t="shared" si="0"/>
        <v>2.8914705789741463E-6</v>
      </c>
      <c r="D61" s="5">
        <f t="shared" si="1"/>
        <v>0.55000000000000004</v>
      </c>
    </row>
    <row r="62" spans="2:4">
      <c r="B62">
        <f t="shared" si="2"/>
        <v>56</v>
      </c>
      <c r="C62" s="5">
        <f t="shared" si="0"/>
        <v>2.2898645714955136E-6</v>
      </c>
      <c r="D62" s="5">
        <f t="shared" si="1"/>
        <v>0.56000000000000005</v>
      </c>
    </row>
    <row r="63" spans="2:4">
      <c r="B63">
        <f t="shared" si="2"/>
        <v>57</v>
      </c>
      <c r="C63" s="5">
        <f t="shared" si="0"/>
        <v>1.8079584819334197E-6</v>
      </c>
      <c r="D63" s="5">
        <f t="shared" si="1"/>
        <v>0.56999999999999995</v>
      </c>
    </row>
    <row r="64" spans="2:4">
      <c r="B64">
        <f t="shared" si="2"/>
        <v>58</v>
      </c>
      <c r="C64" s="5">
        <f t="shared" si="0"/>
        <v>1.4229348190243047E-6</v>
      </c>
      <c r="D64" s="5">
        <f t="shared" si="1"/>
        <v>0.57999999999999996</v>
      </c>
    </row>
    <row r="65" spans="2:4">
      <c r="B65">
        <f t="shared" si="2"/>
        <v>59</v>
      </c>
      <c r="C65" s="5">
        <f t="shared" si="0"/>
        <v>1.1161582589696698E-6</v>
      </c>
      <c r="D65" s="5">
        <f t="shared" si="1"/>
        <v>0.59</v>
      </c>
    </row>
    <row r="66" spans="2:4">
      <c r="B66">
        <f t="shared" si="2"/>
        <v>60</v>
      </c>
      <c r="C66" s="5">
        <f t="shared" si="0"/>
        <v>8.7243435171317548E-7</v>
      </c>
      <c r="D66" s="5">
        <f t="shared" si="1"/>
        <v>0.6</v>
      </c>
    </row>
    <row r="67" spans="2:4">
      <c r="B67">
        <f t="shared" si="2"/>
        <v>61</v>
      </c>
      <c r="C67" s="5">
        <f t="shared" si="0"/>
        <v>6.7939632034750321E-7</v>
      </c>
      <c r="D67" s="5">
        <f t="shared" si="1"/>
        <v>0.61</v>
      </c>
    </row>
    <row r="68" spans="2:4">
      <c r="B68">
        <f t="shared" si="2"/>
        <v>62</v>
      </c>
      <c r="C68" s="5">
        <f t="shared" si="0"/>
        <v>5.2699815768241853E-7</v>
      </c>
      <c r="D68" s="5">
        <f t="shared" si="1"/>
        <v>0.62</v>
      </c>
    </row>
    <row r="69" spans="2:4">
      <c r="B69">
        <f t="shared" si="2"/>
        <v>63</v>
      </c>
      <c r="C69" s="5">
        <f t="shared" si="0"/>
        <v>4.0709591701016789E-7</v>
      </c>
      <c r="D69" s="5">
        <f t="shared" si="1"/>
        <v>0.63</v>
      </c>
    </row>
    <row r="70" spans="2:4">
      <c r="B70">
        <f t="shared" si="2"/>
        <v>64</v>
      </c>
      <c r="C70" s="5">
        <f t="shared" si="0"/>
        <v>3.1310215697202378E-7</v>
      </c>
      <c r="D70" s="5">
        <f t="shared" si="1"/>
        <v>0.64</v>
      </c>
    </row>
    <row r="71" spans="2:4">
      <c r="B71">
        <f t="shared" si="2"/>
        <v>65</v>
      </c>
      <c r="C71" s="5">
        <f t="shared" ref="C71:C106" si="5">OneFactorGaussianCopula($C$2,B71,$C$3,$C$4)</f>
        <v>2.3970104246421204E-7</v>
      </c>
      <c r="D71" s="5">
        <f t="shared" ref="D71:D106" si="6">B71/$C$2</f>
        <v>0.65</v>
      </c>
    </row>
    <row r="72" spans="2:4">
      <c r="B72">
        <f t="shared" ref="B72:B101" si="7">B71+1</f>
        <v>66</v>
      </c>
      <c r="C72" s="5">
        <f t="shared" si="5"/>
        <v>1.8261371466947829E-7</v>
      </c>
      <c r="D72" s="5">
        <f t="shared" si="6"/>
        <v>0.66</v>
      </c>
    </row>
    <row r="73" spans="2:4">
      <c r="B73">
        <f t="shared" si="7"/>
        <v>67</v>
      </c>
      <c r="C73" s="5">
        <f t="shared" si="5"/>
        <v>1.3840529774254947E-7</v>
      </c>
      <c r="D73" s="5">
        <f t="shared" si="6"/>
        <v>0.67</v>
      </c>
    </row>
    <row r="74" spans="2:4">
      <c r="B74">
        <f t="shared" si="7"/>
        <v>68</v>
      </c>
      <c r="C74" s="5">
        <f t="shared" si="5"/>
        <v>1.0432636872755214E-7</v>
      </c>
      <c r="D74" s="5">
        <f t="shared" si="6"/>
        <v>0.68</v>
      </c>
    </row>
    <row r="75" spans="2:4">
      <c r="B75">
        <f t="shared" si="7"/>
        <v>69</v>
      </c>
      <c r="C75" s="5">
        <f t="shared" si="5"/>
        <v>7.8182931683959776E-8</v>
      </c>
      <c r="D75" s="5">
        <f t="shared" si="6"/>
        <v>0.69</v>
      </c>
    </row>
    <row r="76" spans="2:4">
      <c r="B76">
        <f t="shared" si="7"/>
        <v>70</v>
      </c>
      <c r="C76" s="5">
        <f t="shared" si="5"/>
        <v>5.8229948645597034E-8</v>
      </c>
      <c r="D76" s="5">
        <f t="shared" si="6"/>
        <v>0.7</v>
      </c>
    </row>
    <row r="77" spans="2:4">
      <c r="B77">
        <f t="shared" si="7"/>
        <v>71</v>
      </c>
      <c r="C77" s="5">
        <f t="shared" si="5"/>
        <v>4.3084323226010563E-8</v>
      </c>
      <c r="D77" s="5">
        <f t="shared" si="6"/>
        <v>0.71</v>
      </c>
    </row>
    <row r="78" spans="2:4">
      <c r="B78">
        <f t="shared" si="7"/>
        <v>72</v>
      </c>
      <c r="C78" s="5">
        <f t="shared" si="5"/>
        <v>3.1653934969109869E-8</v>
      </c>
      <c r="D78" s="5">
        <f t="shared" si="6"/>
        <v>0.72</v>
      </c>
    </row>
    <row r="79" spans="2:4">
      <c r="B79">
        <f t="shared" si="7"/>
        <v>73</v>
      </c>
      <c r="C79" s="5">
        <f t="shared" si="5"/>
        <v>2.3079905565098486E-8</v>
      </c>
      <c r="D79" s="5">
        <f t="shared" si="6"/>
        <v>0.73</v>
      </c>
    </row>
    <row r="80" spans="2:4">
      <c r="B80">
        <f t="shared" si="7"/>
        <v>74</v>
      </c>
      <c r="C80" s="5">
        <f t="shared" si="5"/>
        <v>1.6689758718767418E-8</v>
      </c>
      <c r="D80" s="5">
        <f t="shared" si="6"/>
        <v>0.74</v>
      </c>
    </row>
    <row r="81" spans="2:4">
      <c r="B81">
        <f t="shared" si="7"/>
        <v>75</v>
      </c>
      <c r="C81" s="5">
        <f t="shared" si="5"/>
        <v>1.1959527866229082E-8</v>
      </c>
      <c r="D81" s="5">
        <f t="shared" si="6"/>
        <v>0.75</v>
      </c>
    </row>
    <row r="82" spans="2:4">
      <c r="B82">
        <f t="shared" si="7"/>
        <v>76</v>
      </c>
      <c r="C82" s="5">
        <f t="shared" si="5"/>
        <v>8.483183918118855E-9</v>
      </c>
      <c r="D82" s="5">
        <f t="shared" si="6"/>
        <v>0.76</v>
      </c>
    </row>
    <row r="83" spans="2:4">
      <c r="B83">
        <f t="shared" si="7"/>
        <v>77</v>
      </c>
      <c r="C83" s="5">
        <f t="shared" si="5"/>
        <v>5.9480146499569712E-9</v>
      </c>
      <c r="D83" s="5">
        <f t="shared" si="6"/>
        <v>0.77</v>
      </c>
    </row>
    <row r="84" spans="2:4">
      <c r="B84">
        <f t="shared" si="7"/>
        <v>78</v>
      </c>
      <c r="C84" s="5">
        <f t="shared" si="5"/>
        <v>4.1148067564199584E-9</v>
      </c>
      <c r="D84" s="5">
        <f t="shared" si="6"/>
        <v>0.78</v>
      </c>
    </row>
    <row r="85" spans="2:4">
      <c r="B85">
        <f t="shared" si="7"/>
        <v>79</v>
      </c>
      <c r="C85" s="5">
        <f t="shared" si="5"/>
        <v>2.8018794031462899E-9</v>
      </c>
      <c r="D85" s="5">
        <f t="shared" si="6"/>
        <v>0.79</v>
      </c>
    </row>
    <row r="86" spans="2:4">
      <c r="B86">
        <f t="shared" si="7"/>
        <v>80</v>
      </c>
      <c r="C86" s="5">
        <f t="shared" si="5"/>
        <v>1.8722070948471954E-9</v>
      </c>
      <c r="D86" s="5">
        <f t="shared" si="6"/>
        <v>0.8</v>
      </c>
    </row>
    <row r="87" spans="2:4">
      <c r="B87">
        <f t="shared" si="7"/>
        <v>81</v>
      </c>
      <c r="C87" s="5">
        <f t="shared" si="5"/>
        <v>1.2230507382792801E-9</v>
      </c>
      <c r="D87" s="5">
        <f t="shared" si="6"/>
        <v>0.81</v>
      </c>
    </row>
    <row r="88" spans="2:4">
      <c r="B88">
        <f t="shared" si="7"/>
        <v>82</v>
      </c>
      <c r="C88" s="5">
        <f t="shared" si="5"/>
        <v>7.7767596614213238E-10</v>
      </c>
      <c r="D88" s="5">
        <f t="shared" si="6"/>
        <v>0.82</v>
      </c>
    </row>
    <row r="89" spans="2:4">
      <c r="B89">
        <f t="shared" si="7"/>
        <v>83</v>
      </c>
      <c r="C89" s="5">
        <f t="shared" si="5"/>
        <v>4.7885607524793367E-10</v>
      </c>
      <c r="D89" s="5">
        <f t="shared" si="6"/>
        <v>0.83</v>
      </c>
    </row>
    <row r="90" spans="2:4">
      <c r="B90">
        <f t="shared" si="7"/>
        <v>84</v>
      </c>
      <c r="C90" s="5">
        <f t="shared" si="5"/>
        <v>2.8391704394862548E-10</v>
      </c>
      <c r="D90" s="5">
        <f t="shared" si="6"/>
        <v>0.84</v>
      </c>
    </row>
    <row r="91" spans="2:4">
      <c r="B91">
        <f t="shared" si="7"/>
        <v>85</v>
      </c>
      <c r="C91" s="5">
        <f t="shared" si="5"/>
        <v>1.6108588157422886E-10</v>
      </c>
      <c r="D91" s="5">
        <f t="shared" si="6"/>
        <v>0.85</v>
      </c>
    </row>
    <row r="92" spans="2:4">
      <c r="B92">
        <f t="shared" si="7"/>
        <v>86</v>
      </c>
      <c r="C92" s="5">
        <f t="shared" si="5"/>
        <v>8.6875684966525395E-11</v>
      </c>
      <c r="D92" s="5">
        <f t="shared" si="6"/>
        <v>0.86</v>
      </c>
    </row>
    <row r="93" spans="2:4">
      <c r="B93">
        <f t="shared" si="7"/>
        <v>87</v>
      </c>
      <c r="C93" s="5">
        <f t="shared" si="5"/>
        <v>4.4219325320155475E-11</v>
      </c>
      <c r="D93" s="5">
        <f t="shared" si="6"/>
        <v>0.87</v>
      </c>
    </row>
    <row r="94" spans="2:4">
      <c r="B94">
        <f t="shared" si="7"/>
        <v>88</v>
      </c>
      <c r="C94" s="5">
        <f t="shared" si="5"/>
        <v>2.1080636646713247E-11</v>
      </c>
      <c r="D94" s="5">
        <f t="shared" si="6"/>
        <v>0.88</v>
      </c>
    </row>
    <row r="95" spans="2:4">
      <c r="B95">
        <f t="shared" si="7"/>
        <v>89</v>
      </c>
      <c r="C95" s="5">
        <f t="shared" si="5"/>
        <v>9.3354935176753907E-12</v>
      </c>
      <c r="D95" s="5">
        <f t="shared" si="6"/>
        <v>0.89</v>
      </c>
    </row>
    <row r="96" spans="2:4">
      <c r="B96">
        <f t="shared" si="7"/>
        <v>90</v>
      </c>
      <c r="C96" s="5">
        <f t="shared" si="5"/>
        <v>3.8058724301326343E-12</v>
      </c>
      <c r="D96" s="5">
        <f t="shared" si="6"/>
        <v>0.9</v>
      </c>
    </row>
    <row r="97" spans="2:4">
      <c r="B97">
        <f t="shared" si="7"/>
        <v>91</v>
      </c>
      <c r="C97" s="5">
        <f t="shared" si="5"/>
        <v>1.4139900282881319E-12</v>
      </c>
      <c r="D97" s="5">
        <f t="shared" si="6"/>
        <v>0.91</v>
      </c>
    </row>
    <row r="98" spans="2:4">
      <c r="B98">
        <f t="shared" si="7"/>
        <v>92</v>
      </c>
      <c r="C98" s="5">
        <f t="shared" si="5"/>
        <v>4.7322575215084343E-13</v>
      </c>
      <c r="D98" s="5">
        <f t="shared" si="6"/>
        <v>0.92</v>
      </c>
    </row>
    <row r="99" spans="2:4">
      <c r="B99">
        <f t="shared" si="7"/>
        <v>93</v>
      </c>
      <c r="C99" s="5">
        <f t="shared" si="5"/>
        <v>1.4071497857061673E-13</v>
      </c>
      <c r="D99" s="5">
        <f t="shared" si="6"/>
        <v>0.93</v>
      </c>
    </row>
    <row r="100" spans="2:4">
      <c r="B100">
        <f t="shared" si="7"/>
        <v>94</v>
      </c>
      <c r="C100" s="5">
        <f t="shared" si="5"/>
        <v>3.6553039416522346E-14</v>
      </c>
      <c r="D100" s="5">
        <f t="shared" si="6"/>
        <v>0.94</v>
      </c>
    </row>
    <row r="101" spans="2:4">
      <c r="B101">
        <f t="shared" si="7"/>
        <v>95</v>
      </c>
      <c r="C101" s="5">
        <f t="shared" si="5"/>
        <v>8.1178115798103284E-15</v>
      </c>
      <c r="D101" s="5">
        <f t="shared" si="6"/>
        <v>0.95</v>
      </c>
    </row>
    <row r="102" spans="2:4">
      <c r="B102">
        <f>B101+1</f>
        <v>96</v>
      </c>
      <c r="C102" s="5">
        <f t="shared" si="5"/>
        <v>1.4972468900389177E-15</v>
      </c>
      <c r="D102" s="5">
        <f t="shared" si="6"/>
        <v>0.96</v>
      </c>
    </row>
    <row r="103" spans="2:4">
      <c r="B103">
        <f t="shared" ref="B103:B104" si="8">B102+1</f>
        <v>97</v>
      </c>
      <c r="C103" s="5">
        <f t="shared" si="5"/>
        <v>2.2001644417545024E-16</v>
      </c>
      <c r="D103" s="5">
        <f t="shared" si="6"/>
        <v>0.97</v>
      </c>
    </row>
    <row r="104" spans="2:4">
      <c r="B104">
        <f t="shared" si="8"/>
        <v>98</v>
      </c>
      <c r="C104" s="5">
        <f t="shared" si="5"/>
        <v>2.4134600953317349E-17</v>
      </c>
      <c r="D104" s="5">
        <f t="shared" si="6"/>
        <v>0.98</v>
      </c>
    </row>
    <row r="105" spans="2:4">
      <c r="B105">
        <f>B104+1</f>
        <v>99</v>
      </c>
      <c r="C105" s="5">
        <f t="shared" si="5"/>
        <v>1.755824071148453E-18</v>
      </c>
      <c r="D105" s="5">
        <f t="shared" si="6"/>
        <v>0.99</v>
      </c>
    </row>
    <row r="106" spans="2:4">
      <c r="B106">
        <f t="shared" ref="B106" si="9">B105+1</f>
        <v>100</v>
      </c>
      <c r="C106" s="5">
        <f t="shared" si="5"/>
        <v>6.3512386626853088E-20</v>
      </c>
      <c r="D106" s="5">
        <f t="shared" si="6"/>
        <v>1</v>
      </c>
    </row>
  </sheetData>
  <mergeCells count="2">
    <mergeCell ref="H5:I5"/>
    <mergeCell ref="F5:G5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B2:K106"/>
  <sheetViews>
    <sheetView zoomScale="200" zoomScaleNormal="200" workbookViewId="0">
      <selection activeCell="B6" sqref="B6"/>
    </sheetView>
  </sheetViews>
  <sheetFormatPr baseColWidth="10" defaultRowHeight="14.4"/>
  <cols>
    <col min="1" max="1" width="2.5546875" customWidth="1"/>
    <col min="6" max="6" width="4.44140625" bestFit="1" customWidth="1"/>
    <col min="7" max="7" width="5.44140625" bestFit="1" customWidth="1"/>
    <col min="8" max="8" width="8.5546875" bestFit="1" customWidth="1"/>
    <col min="9" max="9" width="8.6640625" bestFit="1" customWidth="1"/>
    <col min="10" max="10" width="8.5546875" bestFit="1" customWidth="1"/>
    <col min="11" max="11" width="9.21875" bestFit="1" customWidth="1"/>
  </cols>
  <sheetData>
    <row r="2" spans="2:11">
      <c r="B2" s="3" t="s">
        <v>0</v>
      </c>
      <c r="C2">
        <f>CDO!C2</f>
        <v>100</v>
      </c>
    </row>
    <row r="3" spans="2:11">
      <c r="B3" s="3" t="s">
        <v>2</v>
      </c>
      <c r="C3" s="2">
        <f>CDO!C3</f>
        <v>0.05</v>
      </c>
      <c r="D3">
        <f>SUM(C6:C106)</f>
        <v>0.9999999980268266</v>
      </c>
    </row>
    <row r="4" spans="2:11">
      <c r="B4" s="3" t="s">
        <v>1</v>
      </c>
      <c r="C4" s="2">
        <f>CDO!C4</f>
        <v>0.4</v>
      </c>
      <c r="F4" s="11" t="s">
        <v>15</v>
      </c>
      <c r="G4" s="12"/>
      <c r="H4" s="14" t="s">
        <v>6</v>
      </c>
      <c r="I4" s="15"/>
      <c r="J4" s="14" t="s">
        <v>7</v>
      </c>
      <c r="K4" s="15"/>
    </row>
    <row r="5" spans="2:11">
      <c r="B5" s="3" t="s">
        <v>16</v>
      </c>
      <c r="C5" s="4" t="s">
        <v>9</v>
      </c>
      <c r="D5" s="3" t="s">
        <v>10</v>
      </c>
      <c r="F5" s="6" t="s">
        <v>13</v>
      </c>
      <c r="G5" s="6" t="s">
        <v>14</v>
      </c>
      <c r="H5" s="6" t="s">
        <v>11</v>
      </c>
      <c r="I5" s="6" t="s">
        <v>12</v>
      </c>
      <c r="J5" s="6" t="s">
        <v>11</v>
      </c>
      <c r="K5" s="6" t="s">
        <v>12</v>
      </c>
    </row>
    <row r="6" spans="2:11">
      <c r="B6">
        <v>0</v>
      </c>
      <c r="C6" s="5">
        <f>OneFactorGaussianCopula($C$2,B6,$C$3+0.01,$C$4)</f>
        <v>8.6290771277428402E-2</v>
      </c>
      <c r="D6" s="5">
        <f>OneFactorGaussianCopula($C$2,B6,$C$3,$C$4+0.01)</f>
        <v>0.12438243894626504</v>
      </c>
      <c r="F6" s="7">
        <v>0</v>
      </c>
      <c r="G6" s="7">
        <v>0.03</v>
      </c>
      <c r="H6" s="8">
        <f>ExpectedLoss($C$6:$C$106,CDO!$D$6:$D$106,F6,G6)-CDO!H7</f>
        <v>5.3121241111992568E-2</v>
      </c>
      <c r="I6" s="8">
        <f>ExpectedLoss($D$6:$D$106,CDO!$D$6:$D$106,F6,G6)-CDO!H7</f>
        <v>-8.4730572680443705E-3</v>
      </c>
      <c r="J6" s="8">
        <f>H6*($G6-$F6)</f>
        <v>1.593637233359777E-3</v>
      </c>
      <c r="K6" s="8">
        <f>I6*($G6-$F6)</f>
        <v>-2.5419171804133111E-4</v>
      </c>
    </row>
    <row r="7" spans="2:11">
      <c r="B7">
        <f>B6+1</f>
        <v>1</v>
      </c>
      <c r="C7" s="5">
        <f t="shared" ref="C7:C70" si="0">OneFactorGaussianCopula($C$2,B7,$C$3+0.01,$C$4)</f>
        <v>0.11330315305646466</v>
      </c>
      <c r="D7" s="5">
        <f t="shared" ref="D7:D70" si="1">OneFactorGaussianCopula($C$2,B7,$C$3,$C$4+0.01)</f>
        <v>0.14125617999239032</v>
      </c>
      <c r="F7" s="7">
        <v>0.03</v>
      </c>
      <c r="G7" s="7">
        <v>7.0000000000000007E-2</v>
      </c>
      <c r="H7" s="8">
        <f>ExpectedLoss($C$6:$C$106,CDO!$D$6:$D$106,F7,G7)-CDO!H8</f>
        <v>7.6967295903488941E-2</v>
      </c>
      <c r="I7" s="8">
        <f>ExpectedLoss($D$6:$D$106,CDO!$D$6:$D$106,F7,G7)-CDO!H8</f>
        <v>-3.801200665723703E-3</v>
      </c>
      <c r="J7" s="8">
        <f t="shared" ref="J7:J10" si="2">H7*($G7-$F7)</f>
        <v>3.0786918361395584E-3</v>
      </c>
      <c r="K7" s="8">
        <f t="shared" ref="K7:K11" si="3">I7*($G7-$F7)</f>
        <v>-1.5204802662894816E-4</v>
      </c>
    </row>
    <row r="8" spans="2:11">
      <c r="B8">
        <f t="shared" ref="B8:B71" si="4">B7+1</f>
        <v>2</v>
      </c>
      <c r="C8" s="5">
        <f t="shared" si="0"/>
        <v>0.11373933842146225</v>
      </c>
      <c r="D8" s="5">
        <f t="shared" si="1"/>
        <v>0.12834117668321041</v>
      </c>
      <c r="F8" s="7">
        <v>7.0000000000000007E-2</v>
      </c>
      <c r="G8" s="7">
        <v>0.1</v>
      </c>
      <c r="H8" s="8">
        <f>ExpectedLoss($C$6:$C$106,CDO!$D$6:$D$106,F8,G8)-CDO!H9</f>
        <v>6.010765043037064E-2</v>
      </c>
      <c r="I8" s="8">
        <f>ExpectedLoss($D$6:$D$106,CDO!$D$6:$D$106,F8,G8)-CDO!H9</f>
        <v>1.1610883562496455E-3</v>
      </c>
      <c r="J8" s="8">
        <f t="shared" si="2"/>
        <v>1.8032295129111191E-3</v>
      </c>
      <c r="K8" s="8">
        <f t="shared" si="3"/>
        <v>3.4832650687489365E-5</v>
      </c>
    </row>
    <row r="9" spans="2:11">
      <c r="B9">
        <f t="shared" si="4"/>
        <v>3</v>
      </c>
      <c r="C9" s="5">
        <f t="shared" si="0"/>
        <v>0.10410648204382002</v>
      </c>
      <c r="D9" s="5">
        <f t="shared" si="1"/>
        <v>0.10902941802225269</v>
      </c>
      <c r="F9" s="7">
        <v>0.1</v>
      </c>
      <c r="G9" s="7">
        <v>0.15</v>
      </c>
      <c r="H9" s="8">
        <f>ExpectedLoss($C$6:$C$106,CDO!$D$6:$D$106,F9,G9)-CDO!H10</f>
        <v>3.7298342129597289E-2</v>
      </c>
      <c r="I9" s="8">
        <f>ExpectedLoss($D$6:$D$106,CDO!$D$6:$D$106,F9,G9)-CDO!H10</f>
        <v>2.5901251639073447E-3</v>
      </c>
      <c r="J9" s="8">
        <f t="shared" si="2"/>
        <v>1.864917106479864E-3</v>
      </c>
      <c r="K9" s="8">
        <f t="shared" si="3"/>
        <v>1.295062581953672E-4</v>
      </c>
    </row>
    <row r="10" spans="2:11">
      <c r="B10">
        <f t="shared" si="4"/>
        <v>4</v>
      </c>
      <c r="C10" s="5">
        <f t="shared" si="0"/>
        <v>9.1403873406136968E-2</v>
      </c>
      <c r="D10" s="5">
        <f t="shared" si="1"/>
        <v>9.0250774872735487E-2</v>
      </c>
      <c r="F10" s="7">
        <v>0.15</v>
      </c>
      <c r="G10" s="7">
        <v>0.3</v>
      </c>
      <c r="H10" s="8">
        <f>ExpectedLoss($C$6:$C$106,CDO!$D$6:$D$106,F10,G10)-CDO!H11</f>
        <v>1.0178657192068886E-2</v>
      </c>
      <c r="I10" s="8">
        <f>ExpectedLoss($D$6:$D$106,CDO!$D$6:$D$106,F10,G10)-CDO!H11</f>
        <v>1.4043524497500542E-3</v>
      </c>
      <c r="J10" s="8">
        <f t="shared" si="2"/>
        <v>1.5267985788103328E-3</v>
      </c>
      <c r="K10" s="8">
        <f t="shared" si="3"/>
        <v>2.1065286746250813E-4</v>
      </c>
    </row>
    <row r="11" spans="2:11">
      <c r="B11">
        <f t="shared" si="4"/>
        <v>5</v>
      </c>
      <c r="C11" s="5">
        <f t="shared" si="0"/>
        <v>7.8551927215968792E-2</v>
      </c>
      <c r="D11" s="5">
        <f t="shared" si="1"/>
        <v>7.3904347183960661E-2</v>
      </c>
      <c r="F11" s="7">
        <v>0.3</v>
      </c>
      <c r="G11" s="7">
        <v>1</v>
      </c>
      <c r="H11" s="8">
        <f>ExpectedLoss($C$6:$C$106,CDO!$D$6:$D$106,F11,G11)-CDO!H12</f>
        <v>1.8960815354779681E-4</v>
      </c>
      <c r="I11" s="13">
        <f>ExpectedLoss($D$6:$D$106,CDO!$D$6:$D$106,F11,G11)-CDO!H12</f>
        <v>4.4639928560558459E-5</v>
      </c>
      <c r="J11" s="8">
        <f>H11*($G11-$F11)</f>
        <v>1.3272570748345776E-4</v>
      </c>
      <c r="K11" s="8">
        <f t="shared" si="3"/>
        <v>3.124794999239092E-5</v>
      </c>
    </row>
    <row r="12" spans="2:11">
      <c r="B12">
        <f t="shared" si="4"/>
        <v>6</v>
      </c>
      <c r="C12" s="5">
        <f t="shared" si="0"/>
        <v>6.6712339137389234E-2</v>
      </c>
      <c r="D12" s="5">
        <f t="shared" si="1"/>
        <v>6.0262905698688592E-2</v>
      </c>
      <c r="I12" s="6" t="s">
        <v>5</v>
      </c>
      <c r="J12" s="8">
        <f>SUM(J6:J11)</f>
        <v>9.9999999751841078E-3</v>
      </c>
      <c r="K12" s="8">
        <f>SUM(K6:K11)</f>
        <v>-1.8332523697608526E-11</v>
      </c>
    </row>
    <row r="13" spans="2:11">
      <c r="B13">
        <f t="shared" si="4"/>
        <v>7</v>
      </c>
      <c r="C13" s="5">
        <f t="shared" si="0"/>
        <v>5.6271902693866754E-2</v>
      </c>
      <c r="D13" s="5">
        <f t="shared" si="1"/>
        <v>4.9084290870202392E-2</v>
      </c>
    </row>
    <row r="14" spans="2:11">
      <c r="B14">
        <f t="shared" si="4"/>
        <v>8</v>
      </c>
      <c r="C14" s="5">
        <f t="shared" si="0"/>
        <v>4.7275901900554168E-2</v>
      </c>
      <c r="D14" s="5">
        <f t="shared" si="1"/>
        <v>3.9996134714273275E-2</v>
      </c>
    </row>
    <row r="15" spans="2:11">
      <c r="B15">
        <f t="shared" si="4"/>
        <v>9</v>
      </c>
      <c r="C15" s="5">
        <f t="shared" si="0"/>
        <v>3.9625537728764045E-2</v>
      </c>
      <c r="D15" s="5">
        <f t="shared" si="1"/>
        <v>3.2629523272183061E-2</v>
      </c>
      <c r="G15" s="3"/>
      <c r="H15" s="3"/>
    </row>
    <row r="16" spans="2:11">
      <c r="B16">
        <f t="shared" si="4"/>
        <v>10</v>
      </c>
      <c r="C16" s="5">
        <f t="shared" si="0"/>
        <v>3.31695049050591E-2</v>
      </c>
      <c r="D16" s="5">
        <f t="shared" si="1"/>
        <v>2.6661118842140813E-2</v>
      </c>
    </row>
    <row r="17" spans="2:4">
      <c r="B17">
        <f t="shared" si="4"/>
        <v>11</v>
      </c>
      <c r="C17" s="5">
        <f t="shared" si="0"/>
        <v>2.7746294322793935E-2</v>
      </c>
      <c r="D17" s="5">
        <f t="shared" si="1"/>
        <v>2.1821391119065853E-2</v>
      </c>
    </row>
    <row r="18" spans="2:4">
      <c r="B18">
        <f t="shared" si="4"/>
        <v>12</v>
      </c>
      <c r="C18" s="5">
        <f t="shared" si="0"/>
        <v>2.3202968356142186E-2</v>
      </c>
      <c r="D18" s="5">
        <f t="shared" si="1"/>
        <v>1.7890835192361797E-2</v>
      </c>
    </row>
    <row r="19" spans="2:4">
      <c r="B19">
        <f t="shared" si="4"/>
        <v>13</v>
      </c>
      <c r="C19" s="5">
        <f t="shared" si="0"/>
        <v>1.9402573243212217E-2</v>
      </c>
      <c r="D19" s="5">
        <f t="shared" si="1"/>
        <v>1.4692655375358538E-2</v>
      </c>
    </row>
    <row r="20" spans="2:4">
      <c r="B20">
        <f t="shared" si="4"/>
        <v>14</v>
      </c>
      <c r="C20" s="5">
        <f t="shared" si="0"/>
        <v>1.6226099949612282E-2</v>
      </c>
      <c r="D20" s="5">
        <f t="shared" si="1"/>
        <v>1.2085146263080567E-2</v>
      </c>
    </row>
    <row r="21" spans="2:4">
      <c r="B21">
        <f t="shared" si="4"/>
        <v>15</v>
      </c>
      <c r="C21" s="5">
        <f t="shared" si="0"/>
        <v>1.3571919673113728E-2</v>
      </c>
      <c r="D21" s="5">
        <f t="shared" si="1"/>
        <v>9.9548978665094361E-3</v>
      </c>
    </row>
    <row r="22" spans="2:4">
      <c r="B22">
        <f t="shared" si="4"/>
        <v>16</v>
      </c>
      <c r="C22" s="5">
        <f t="shared" si="0"/>
        <v>1.1354152888195381E-2</v>
      </c>
      <c r="D22" s="5">
        <f t="shared" si="1"/>
        <v>8.2111095862387358E-3</v>
      </c>
    </row>
    <row r="23" spans="2:4">
      <c r="B23">
        <f t="shared" si="4"/>
        <v>17</v>
      </c>
      <c r="C23" s="5">
        <f t="shared" si="0"/>
        <v>9.5006939086206034E-3</v>
      </c>
      <c r="D23" s="5">
        <f t="shared" si="1"/>
        <v>6.7809755817479864E-3</v>
      </c>
    </row>
    <row r="24" spans="2:4">
      <c r="B24">
        <f t="shared" si="4"/>
        <v>18</v>
      </c>
      <c r="C24" s="5">
        <f t="shared" si="0"/>
        <v>7.9512377109561671E-3</v>
      </c>
      <c r="D24" s="5">
        <f t="shared" si="1"/>
        <v>5.6059972526143189E-3</v>
      </c>
    </row>
    <row r="25" spans="2:4">
      <c r="B25">
        <f t="shared" si="4"/>
        <v>19</v>
      </c>
      <c r="C25" s="5">
        <f t="shared" si="0"/>
        <v>6.6554638066197106E-3</v>
      </c>
      <c r="D25" s="5">
        <f t="shared" si="1"/>
        <v>4.6390590203850782E-3</v>
      </c>
    </row>
    <row r="26" spans="2:4">
      <c r="B26">
        <f t="shared" si="4"/>
        <v>20</v>
      </c>
      <c r="C26" s="5">
        <f t="shared" si="0"/>
        <v>5.5714344645843954E-3</v>
      </c>
      <c r="D26" s="5">
        <f t="shared" si="1"/>
        <v>3.8421169463607702E-3</v>
      </c>
    </row>
    <row r="27" spans="2:4">
      <c r="B27">
        <f t="shared" si="4"/>
        <v>21</v>
      </c>
      <c r="C27" s="5">
        <f t="shared" si="0"/>
        <v>4.6642163155649497E-3</v>
      </c>
      <c r="D27" s="5">
        <f t="shared" si="1"/>
        <v>3.1843729911229576E-3</v>
      </c>
    </row>
    <row r="28" spans="2:4">
      <c r="B28">
        <f t="shared" si="4"/>
        <v>22</v>
      </c>
      <c r="C28" s="5">
        <f t="shared" si="0"/>
        <v>3.9047118158328652E-3</v>
      </c>
      <c r="D28" s="5">
        <f t="shared" si="1"/>
        <v>2.6408316217946585E-3</v>
      </c>
    </row>
    <row r="29" spans="2:4">
      <c r="B29">
        <f t="shared" si="4"/>
        <v>23</v>
      </c>
      <c r="C29" s="5">
        <f t="shared" si="0"/>
        <v>3.2686778469235463E-3</v>
      </c>
      <c r="D29" s="5">
        <f t="shared" si="1"/>
        <v>2.1911566284432767E-3</v>
      </c>
    </row>
    <row r="30" spans="2:4">
      <c r="B30">
        <f t="shared" si="4"/>
        <v>24</v>
      </c>
      <c r="C30" s="5">
        <f t="shared" si="0"/>
        <v>2.7359063103965888E-3</v>
      </c>
      <c r="D30" s="5">
        <f t="shared" si="1"/>
        <v>1.8187635596639033E-3</v>
      </c>
    </row>
    <row r="31" spans="2:4">
      <c r="B31">
        <f t="shared" si="4"/>
        <v>25</v>
      </c>
      <c r="C31" s="5">
        <f t="shared" si="0"/>
        <v>2.2895424507726717E-3</v>
      </c>
      <c r="D31" s="5">
        <f t="shared" si="1"/>
        <v>1.5100972707778292E-3</v>
      </c>
    </row>
    <row r="32" spans="2:4">
      <c r="B32">
        <f t="shared" si="4"/>
        <v>26</v>
      </c>
      <c r="C32" s="5">
        <f t="shared" si="0"/>
        <v>1.9155189567803493E-3</v>
      </c>
      <c r="D32" s="5">
        <f t="shared" si="1"/>
        <v>1.2540551803889854E-3</v>
      </c>
    </row>
    <row r="33" spans="2:4">
      <c r="B33">
        <f t="shared" si="4"/>
        <v>27</v>
      </c>
      <c r="C33" s="5">
        <f t="shared" si="0"/>
        <v>1.6020866908491994E-3</v>
      </c>
      <c r="D33" s="5">
        <f t="shared" si="1"/>
        <v>1.0415254991761591E-3</v>
      </c>
    </row>
    <row r="34" spans="2:4">
      <c r="B34">
        <f t="shared" si="4"/>
        <v>28</v>
      </c>
      <c r="C34" s="5">
        <f t="shared" si="0"/>
        <v>1.3394256988690713E-3</v>
      </c>
      <c r="D34" s="5">
        <f t="shared" si="1"/>
        <v>8.6501642963115544E-4</v>
      </c>
    </row>
    <row r="35" spans="2:4">
      <c r="B35">
        <f t="shared" si="4"/>
        <v>29</v>
      </c>
      <c r="C35" s="5">
        <f t="shared" si="0"/>
        <v>1.1193227340026233E-3</v>
      </c>
      <c r="D35" s="5">
        <f t="shared" si="1"/>
        <v>7.1835755816294531E-4</v>
      </c>
    </row>
    <row r="36" spans="2:4">
      <c r="B36">
        <f t="shared" si="4"/>
        <v>30</v>
      </c>
      <c r="C36" s="5">
        <f t="shared" si="0"/>
        <v>9.3490380380542993E-4</v>
      </c>
      <c r="D36" s="5">
        <f t="shared" si="1"/>
        <v>5.9645871089916767E-4</v>
      </c>
    </row>
    <row r="37" spans="2:4">
      <c r="B37">
        <f t="shared" si="4"/>
        <v>31</v>
      </c>
      <c r="C37" s="5">
        <f t="shared" si="0"/>
        <v>7.8041220325366766E-4</v>
      </c>
      <c r="D37" s="5">
        <f t="shared" si="1"/>
        <v>4.9511468865381925E-4</v>
      </c>
    </row>
    <row r="38" spans="2:4">
      <c r="B38">
        <f t="shared" si="4"/>
        <v>32</v>
      </c>
      <c r="C38" s="5">
        <f t="shared" si="0"/>
        <v>6.5102414561808741E-4</v>
      </c>
      <c r="D38" s="5">
        <f t="shared" si="1"/>
        <v>4.1084674225102586E-4</v>
      </c>
    </row>
    <row r="39" spans="2:4">
      <c r="B39">
        <f t="shared" si="4"/>
        <v>33</v>
      </c>
      <c r="C39" s="5">
        <f t="shared" si="0"/>
        <v>5.4269548098873478E-4</v>
      </c>
      <c r="D39" s="5">
        <f t="shared" si="1"/>
        <v>3.4077355654207116E-4</v>
      </c>
    </row>
    <row r="40" spans="2:4">
      <c r="B40">
        <f t="shared" si="4"/>
        <v>34</v>
      </c>
      <c r="C40" s="5">
        <f t="shared" si="0"/>
        <v>4.5203413535863606E-4</v>
      </c>
      <c r="D40" s="5">
        <f t="shared" si="1"/>
        <v>2.8250600278578459E-4</v>
      </c>
    </row>
    <row r="41" spans="2:4">
      <c r="B41">
        <f t="shared" si="4"/>
        <v>35</v>
      </c>
      <c r="C41" s="5">
        <f t="shared" si="0"/>
        <v>3.7619384727431373E-4</v>
      </c>
      <c r="D41" s="5">
        <f t="shared" si="1"/>
        <v>2.3406108873218117E-4</v>
      </c>
    </row>
    <row r="42" spans="2:4">
      <c r="B42">
        <f t="shared" si="4"/>
        <v>36</v>
      </c>
      <c r="C42" s="5">
        <f t="shared" si="0"/>
        <v>3.1278555662859667E-4</v>
      </c>
      <c r="D42" s="5">
        <f t="shared" si="1"/>
        <v>1.9379145598000607E-4</v>
      </c>
    </row>
    <row r="43" spans="2:4">
      <c r="B43">
        <f t="shared" si="4"/>
        <v>37</v>
      </c>
      <c r="C43" s="5">
        <f t="shared" si="0"/>
        <v>2.5980343955666105E-4</v>
      </c>
      <c r="D43" s="5">
        <f t="shared" si="1"/>
        <v>1.603275004416533E-4</v>
      </c>
    </row>
    <row r="44" spans="2:4">
      <c r="B44">
        <f t="shared" si="4"/>
        <v>38</v>
      </c>
      <c r="C44" s="5">
        <f t="shared" si="0"/>
        <v>2.1556310875983048E-4</v>
      </c>
      <c r="D44" s="5">
        <f t="shared" si="1"/>
        <v>1.3252976673091548E-4</v>
      </c>
    </row>
    <row r="45" spans="2:4">
      <c r="B45">
        <f t="shared" si="4"/>
        <v>39</v>
      </c>
      <c r="C45" s="5">
        <f t="shared" si="0"/>
        <v>1.7864993019651548E-4</v>
      </c>
      <c r="D45" s="5">
        <f t="shared" si="1"/>
        <v>1.0944972391838763E-4</v>
      </c>
    </row>
    <row r="46" spans="2:4">
      <c r="B46">
        <f t="shared" si="4"/>
        <v>40</v>
      </c>
      <c r="C46" s="5">
        <f t="shared" si="0"/>
        <v>1.4787576178320268E-4</v>
      </c>
      <c r="D46" s="5">
        <f t="shared" si="1"/>
        <v>9.0297393845857829E-5</v>
      </c>
    </row>
    <row r="47" spans="2:4">
      <c r="B47">
        <f t="shared" si="4"/>
        <v>41</v>
      </c>
      <c r="C47" s="5">
        <f t="shared" si="0"/>
        <v>1.2224271142987505E-4</v>
      </c>
      <c r="D47" s="5">
        <f t="shared" si="1"/>
        <v>7.4414593813168907E-5</v>
      </c>
    </row>
    <row r="48" spans="2:4">
      <c r="B48">
        <f t="shared" si="4"/>
        <v>42</v>
      </c>
      <c r="C48" s="5">
        <f t="shared" si="0"/>
        <v>1.0091275179906461E-4</v>
      </c>
      <c r="D48" s="5">
        <f t="shared" si="1"/>
        <v>6.125278832345899E-5</v>
      </c>
    </row>
    <row r="49" spans="2:4">
      <c r="B49">
        <f t="shared" si="4"/>
        <v>43</v>
      </c>
      <c r="C49" s="5">
        <f t="shared" si="0"/>
        <v>8.3182226965074086E-5</v>
      </c>
      <c r="D49" s="5">
        <f t="shared" si="1"/>
        <v>5.0354731696378867E-5</v>
      </c>
    </row>
    <row r="50" spans="2:4">
      <c r="B50">
        <f t="shared" si="4"/>
        <v>44</v>
      </c>
      <c r="C50" s="5">
        <f t="shared" si="0"/>
        <v>6.8460449293483038E-5</v>
      </c>
      <c r="D50" s="5">
        <f t="shared" si="1"/>
        <v>4.1339234130713845E-5</v>
      </c>
    </row>
    <row r="51" spans="2:4">
      <c r="B51">
        <f t="shared" si="4"/>
        <v>45</v>
      </c>
      <c r="C51" s="5">
        <f t="shared" si="0"/>
        <v>5.6251719595431169E-5</v>
      </c>
      <c r="D51" s="5">
        <f t="shared" si="1"/>
        <v>3.388850559887891E-5</v>
      </c>
    </row>
    <row r="52" spans="2:4">
      <c r="B52">
        <f t="shared" si="4"/>
        <v>46</v>
      </c>
      <c r="C52" s="5">
        <f t="shared" si="0"/>
        <v>4.6140215026695006E-5</v>
      </c>
      <c r="D52" s="5">
        <f t="shared" si="1"/>
        <v>2.7737630601658638E-5</v>
      </c>
    </row>
    <row r="53" spans="2:4">
      <c r="B53">
        <f t="shared" si="4"/>
        <v>47</v>
      </c>
      <c r="C53" s="5">
        <f t="shared" si="0"/>
        <v>3.7777281455352285E-5</v>
      </c>
      <c r="D53" s="5">
        <f t="shared" si="1"/>
        <v>2.2665806898565621E-5</v>
      </c>
    </row>
    <row r="54" spans="2:4">
      <c r="B54">
        <f t="shared" si="4"/>
        <v>48</v>
      </c>
      <c r="C54" s="5">
        <f t="shared" si="0"/>
        <v>3.087074351068353E-5</v>
      </c>
      <c r="D54" s="5">
        <f t="shared" si="1"/>
        <v>1.848904650075046E-5</v>
      </c>
    </row>
    <row r="55" spans="2:4">
      <c r="B55">
        <f t="shared" si="4"/>
        <v>49</v>
      </c>
      <c r="C55" s="5">
        <f t="shared" si="0"/>
        <v>2.5175909027792014E-5</v>
      </c>
      <c r="D55" s="5">
        <f t="shared" si="1"/>
        <v>1.5054090366134279E-5</v>
      </c>
    </row>
    <row r="56" spans="2:4">
      <c r="B56">
        <f t="shared" si="4"/>
        <v>50</v>
      </c>
      <c r="C56" s="5">
        <f t="shared" si="0"/>
        <v>2.0487997391209884E-5</v>
      </c>
      <c r="D56" s="5">
        <f t="shared" si="1"/>
        <v>1.223333167980914E-5</v>
      </c>
    </row>
    <row r="57" spans="2:4">
      <c r="B57">
        <f t="shared" si="4"/>
        <v>51</v>
      </c>
      <c r="C57" s="5">
        <f t="shared" si="0"/>
        <v>1.6635765220209727E-5</v>
      </c>
      <c r="D57" s="5">
        <f t="shared" si="1"/>
        <v>9.9205781832343779E-6</v>
      </c>
    </row>
    <row r="58" spans="2:4">
      <c r="B58">
        <f t="shared" si="4"/>
        <v>52</v>
      </c>
      <c r="C58" s="5">
        <f t="shared" si="0"/>
        <v>1.3476139457973706E-5</v>
      </c>
      <c r="D58" s="5">
        <f t="shared" si="1"/>
        <v>8.0275132135841988E-6</v>
      </c>
    </row>
    <row r="59" spans="2:4">
      <c r="B59">
        <f t="shared" si="4"/>
        <v>53</v>
      </c>
      <c r="C59" s="5">
        <f t="shared" si="0"/>
        <v>1.0889698482817856E-5</v>
      </c>
      <c r="D59" s="5">
        <f t="shared" si="1"/>
        <v>6.4807391195874866E-6</v>
      </c>
    </row>
    <row r="60" spans="2:4">
      <c r="B60">
        <f t="shared" si="4"/>
        <v>54</v>
      </c>
      <c r="C60" s="5">
        <f t="shared" si="0"/>
        <v>8.7768673863150427E-6</v>
      </c>
      <c r="D60" s="5">
        <f t="shared" si="1"/>
        <v>5.219306491081793E-6</v>
      </c>
    </row>
    <row r="61" spans="2:4">
      <c r="B61">
        <f t="shared" si="4"/>
        <v>55</v>
      </c>
      <c r="C61" s="5">
        <f t="shared" si="0"/>
        <v>7.0547149123986987E-6</v>
      </c>
      <c r="D61" s="5">
        <f t="shared" si="1"/>
        <v>4.1926489507705266E-6</v>
      </c>
    </row>
    <row r="62" spans="2:4">
      <c r="B62">
        <f t="shared" si="4"/>
        <v>56</v>
      </c>
      <c r="C62" s="5">
        <f t="shared" si="0"/>
        <v>5.6542574263972353E-6</v>
      </c>
      <c r="D62" s="5">
        <f t="shared" si="1"/>
        <v>3.3588567354211312E-6</v>
      </c>
    </row>
    <row r="63" spans="2:4">
      <c r="B63">
        <f t="shared" si="4"/>
        <v>57</v>
      </c>
      <c r="C63" s="5">
        <f t="shared" si="0"/>
        <v>4.5181902643954658E-6</v>
      </c>
      <c r="D63" s="5">
        <f t="shared" si="1"/>
        <v>2.6832334489135515E-6</v>
      </c>
    </row>
    <row r="64" spans="2:4">
      <c r="B64">
        <f t="shared" si="4"/>
        <v>58</v>
      </c>
      <c r="C64" s="5">
        <f t="shared" si="0"/>
        <v>3.5989793821044677E-6</v>
      </c>
      <c r="D64" s="5">
        <f t="shared" si="1"/>
        <v>2.1370896150971148E-6</v>
      </c>
    </row>
    <row r="65" spans="2:4">
      <c r="B65">
        <f t="shared" si="4"/>
        <v>59</v>
      </c>
      <c r="C65" s="5">
        <f t="shared" si="0"/>
        <v>2.8572567769376194E-6</v>
      </c>
      <c r="D65" s="5">
        <f t="shared" si="1"/>
        <v>1.6967343317528303E-6</v>
      </c>
    </row>
    <row r="66" spans="2:4">
      <c r="B66">
        <f t="shared" si="4"/>
        <v>60</v>
      </c>
      <c r="C66" s="5">
        <f t="shared" si="0"/>
        <v>2.2604720278561183E-6</v>
      </c>
      <c r="D66" s="5">
        <f t="shared" si="1"/>
        <v>1.3426327036820106E-6</v>
      </c>
    </row>
    <row r="67" spans="2:4">
      <c r="B67">
        <f t="shared" si="4"/>
        <v>61</v>
      </c>
      <c r="C67" s="5">
        <f t="shared" si="0"/>
        <v>1.7817597594891489E-6</v>
      </c>
      <c r="D67" s="5">
        <f t="shared" si="1"/>
        <v>1.0587020385954429E-6</v>
      </c>
    </row>
    <row r="68" spans="2:4">
      <c r="B68">
        <f t="shared" si="4"/>
        <v>62</v>
      </c>
      <c r="C68" s="5">
        <f t="shared" si="0"/>
        <v>1.3989891186581365E-6</v>
      </c>
      <c r="D68" s="5">
        <f t="shared" si="1"/>
        <v>8.3172420899583171E-7</v>
      </c>
    </row>
    <row r="69" spans="2:4">
      <c r="B69">
        <f t="shared" si="4"/>
        <v>63</v>
      </c>
      <c r="C69" s="5">
        <f t="shared" si="0"/>
        <v>1.0939666432019867E-6</v>
      </c>
      <c r="D69" s="5">
        <f t="shared" si="1"/>
        <v>6.5085526854442781E-7</v>
      </c>
    </row>
    <row r="70" spans="2:4">
      <c r="B70">
        <f t="shared" si="4"/>
        <v>64</v>
      </c>
      <c r="C70" s="5">
        <f t="shared" si="0"/>
        <v>8.5176836380006502E-7</v>
      </c>
      <c r="D70" s="5">
        <f t="shared" si="1"/>
        <v>5.0721648748695307E-7</v>
      </c>
    </row>
    <row r="71" spans="2:4">
      <c r="B71">
        <f t="shared" si="4"/>
        <v>65</v>
      </c>
      <c r="C71" s="5">
        <f t="shared" ref="C71:C106" si="5">OneFactorGaussianCopula($C$2,B71,$C$3+0.01,$C$4)</f>
        <v>6.6018074202487383E-7</v>
      </c>
      <c r="D71" s="5">
        <f t="shared" ref="D71:D106" si="6">OneFactorGaussianCopula($C$2,B71,$C$3,$C$4+0.01)</f>
        <v>3.935535416206319E-7</v>
      </c>
    </row>
    <row r="72" spans="2:4">
      <c r="B72">
        <f t="shared" ref="B72:B101" si="7">B71+1</f>
        <v>66</v>
      </c>
      <c r="C72" s="5">
        <f t="shared" si="5"/>
        <v>5.0923322309403205E-7</v>
      </c>
      <c r="D72" s="5">
        <f t="shared" si="6"/>
        <v>3.0395273808351491E-7</v>
      </c>
    </row>
    <row r="73" spans="2:4">
      <c r="B73">
        <f t="shared" si="7"/>
        <v>67</v>
      </c>
      <c r="C73" s="5">
        <f t="shared" si="5"/>
        <v>3.9080786263175684E-7</v>
      </c>
      <c r="D73" s="5">
        <f t="shared" si="6"/>
        <v>2.3360495930270013E-7</v>
      </c>
    </row>
    <row r="74" spans="2:4">
      <c r="B74">
        <f t="shared" si="7"/>
        <v>68</v>
      </c>
      <c r="C74" s="5">
        <f t="shared" si="5"/>
        <v>2.9831375107547877E-7</v>
      </c>
      <c r="D74" s="5">
        <f t="shared" si="6"/>
        <v>1.7860951207769167E-7</v>
      </c>
    </row>
    <row r="75" spans="2:4">
      <c r="B75">
        <f t="shared" si="7"/>
        <v>69</v>
      </c>
      <c r="C75" s="5">
        <f t="shared" si="5"/>
        <v>2.2641587258425127E-7</v>
      </c>
      <c r="D75" s="5">
        <f t="shared" si="6"/>
        <v>1.3581133049175155E-7</v>
      </c>
    </row>
    <row r="76" spans="2:4">
      <c r="B76">
        <f t="shared" si="7"/>
        <v>70</v>
      </c>
      <c r="C76" s="5">
        <f t="shared" si="5"/>
        <v>1.7080965249855228E-7</v>
      </c>
      <c r="D76" s="5">
        <f t="shared" si="6"/>
        <v>1.0266603959615004E-7</v>
      </c>
    </row>
    <row r="77" spans="2:4">
      <c r="B77">
        <f t="shared" si="7"/>
        <v>71</v>
      </c>
      <c r="C77" s="5">
        <f t="shared" si="5"/>
        <v>1.2803381508731757E-7</v>
      </c>
      <c r="D77" s="5">
        <f t="shared" si="6"/>
        <v>7.7128275448980487E-8</v>
      </c>
    </row>
    <row r="78" spans="2:4">
      <c r="B78">
        <f t="shared" si="7"/>
        <v>72</v>
      </c>
      <c r="C78" s="5">
        <f t="shared" si="5"/>
        <v>9.5315330881603799E-8</v>
      </c>
      <c r="D78" s="5">
        <f t="shared" si="6"/>
        <v>5.7559404372764843E-8</v>
      </c>
    </row>
    <row r="79" spans="2:4">
      <c r="B79">
        <f t="shared" si="7"/>
        <v>73</v>
      </c>
      <c r="C79" s="5">
        <f t="shared" si="5"/>
        <v>7.0441213581808992E-8</v>
      </c>
      <c r="D79" s="5">
        <f t="shared" si="6"/>
        <v>4.2651413488144259E-8</v>
      </c>
    </row>
    <row r="80" spans="2:4">
      <c r="B80">
        <f t="shared" si="7"/>
        <v>74</v>
      </c>
      <c r="C80" s="5">
        <f t="shared" si="5"/>
        <v>5.1652757977729163E-8</v>
      </c>
      <c r="D80" s="5">
        <f t="shared" si="6"/>
        <v>3.1364274179620229E-8</v>
      </c>
    </row>
    <row r="81" spans="2:4">
      <c r="B81">
        <f t="shared" si="7"/>
        <v>75</v>
      </c>
      <c r="C81" s="5">
        <f t="shared" si="5"/>
        <v>3.7558514711589662E-8</v>
      </c>
      <c r="D81" s="5">
        <f t="shared" si="6"/>
        <v>2.2874524030981774E-8</v>
      </c>
    </row>
    <row r="82" spans="2:4">
      <c r="B82">
        <f t="shared" si="7"/>
        <v>76</v>
      </c>
      <c r="C82" s="5">
        <f t="shared" si="5"/>
        <v>2.7062891854993049E-8</v>
      </c>
      <c r="D82" s="5">
        <f t="shared" si="6"/>
        <v>1.6533180821054246E-8</v>
      </c>
    </row>
    <row r="83" spans="2:4">
      <c r="B83">
        <f t="shared" si="7"/>
        <v>77</v>
      </c>
      <c r="C83" s="5">
        <f t="shared" si="5"/>
        <v>1.9307769376372703E-8</v>
      </c>
      <c r="D83" s="5">
        <f t="shared" si="6"/>
        <v>1.1831402028115082E-8</v>
      </c>
    </row>
    <row r="84" spans="2:4">
      <c r="B84">
        <f t="shared" si="7"/>
        <v>78</v>
      </c>
      <c r="C84" s="5">
        <f t="shared" si="5"/>
        <v>1.362492045391137E-8</v>
      </c>
      <c r="D84" s="5">
        <f t="shared" si="6"/>
        <v>8.3725433528750887E-9</v>
      </c>
    </row>
    <row r="85" spans="2:4">
      <c r="B85">
        <f t="shared" si="7"/>
        <v>79</v>
      </c>
      <c r="C85" s="5">
        <f t="shared" si="5"/>
        <v>9.4973644039023545E-9</v>
      </c>
      <c r="D85" s="5">
        <f t="shared" si="6"/>
        <v>5.8494625952691979E-9</v>
      </c>
    </row>
    <row r="86" spans="2:4">
      <c r="B86">
        <f t="shared" si="7"/>
        <v>80</v>
      </c>
      <c r="C86" s="5">
        <f t="shared" si="5"/>
        <v>6.5280463109022013E-9</v>
      </c>
      <c r="D86" s="5">
        <f t="shared" si="6"/>
        <v>4.0260790842849394E-9</v>
      </c>
    </row>
    <row r="87" spans="2:4">
      <c r="B87">
        <f t="shared" si="7"/>
        <v>81</v>
      </c>
      <c r="C87" s="5">
        <f t="shared" si="5"/>
        <v>4.4144716426774734E-9</v>
      </c>
      <c r="D87" s="5">
        <f t="shared" si="6"/>
        <v>2.7223548836990231E-9</v>
      </c>
    </row>
    <row r="88" spans="2:4">
      <c r="B88">
        <f t="shared" si="7"/>
        <v>82</v>
      </c>
      <c r="C88" s="5">
        <f t="shared" si="5"/>
        <v>2.9281460149606756E-9</v>
      </c>
      <c r="D88" s="5">
        <f t="shared" si="6"/>
        <v>1.802028069831241E-9</v>
      </c>
    </row>
    <row r="89" spans="2:4">
      <c r="B89">
        <f t="shared" si="7"/>
        <v>83</v>
      </c>
      <c r="C89" s="5">
        <f t="shared" si="5"/>
        <v>1.8978983661800682E-9</v>
      </c>
      <c r="D89" s="5">
        <f t="shared" si="6"/>
        <v>1.1626010567444248E-9</v>
      </c>
    </row>
    <row r="90" spans="2:4">
      <c r="B90">
        <f t="shared" si="7"/>
        <v>84</v>
      </c>
      <c r="C90" s="5">
        <f t="shared" si="5"/>
        <v>1.1963971393821625E-9</v>
      </c>
      <c r="D90" s="5">
        <f t="shared" si="6"/>
        <v>7.2724836010129238E-10</v>
      </c>
    </row>
    <row r="91" spans="2:4">
      <c r="B91">
        <f t="shared" si="7"/>
        <v>85</v>
      </c>
      <c r="C91" s="5">
        <f t="shared" si="5"/>
        <v>7.293758191986872E-10</v>
      </c>
      <c r="D91" s="5">
        <f t="shared" si="6"/>
        <v>4.3842486145896241E-10</v>
      </c>
    </row>
    <row r="92" spans="2:4">
      <c r="B92">
        <f t="shared" si="7"/>
        <v>86</v>
      </c>
      <c r="C92" s="5">
        <f t="shared" si="5"/>
        <v>4.2722522581142909E-10</v>
      </c>
      <c r="D92" s="5">
        <f t="shared" si="6"/>
        <v>2.5299959856998275E-10</v>
      </c>
    </row>
    <row r="93" spans="2:4">
      <c r="B93">
        <f t="shared" si="7"/>
        <v>87</v>
      </c>
      <c r="C93" s="5">
        <f t="shared" si="5"/>
        <v>2.386568609642857E-10</v>
      </c>
      <c r="D93" s="5">
        <f t="shared" si="6"/>
        <v>1.3871065065752466E-10</v>
      </c>
    </row>
    <row r="94" spans="2:4">
      <c r="B94">
        <f t="shared" si="7"/>
        <v>88</v>
      </c>
      <c r="C94" s="5">
        <f t="shared" si="5"/>
        <v>1.2610406363233252E-10</v>
      </c>
      <c r="D94" s="5">
        <f t="shared" si="6"/>
        <v>7.1668989558263292E-11</v>
      </c>
    </row>
    <row r="95" spans="2:4">
      <c r="B95">
        <f t="shared" si="7"/>
        <v>89</v>
      </c>
      <c r="C95" s="5">
        <f t="shared" si="5"/>
        <v>6.2458611945136222E-11</v>
      </c>
      <c r="D95" s="5">
        <f t="shared" si="6"/>
        <v>3.4589736496840157E-11</v>
      </c>
    </row>
    <row r="96" spans="2:4">
      <c r="B96">
        <f t="shared" si="7"/>
        <v>90</v>
      </c>
      <c r="C96" s="5">
        <f t="shared" si="5"/>
        <v>2.8710419216304508E-11</v>
      </c>
      <c r="D96" s="5">
        <f t="shared" si="6"/>
        <v>1.5444073895289365E-11</v>
      </c>
    </row>
    <row r="97" spans="2:4">
      <c r="B97">
        <f t="shared" si="7"/>
        <v>91</v>
      </c>
      <c r="C97" s="5">
        <f t="shared" si="5"/>
        <v>1.2113316805077278E-11</v>
      </c>
      <c r="D97" s="5">
        <f t="shared" si="6"/>
        <v>6.3112258803644088E-12</v>
      </c>
    </row>
    <row r="98" spans="2:4">
      <c r="B98">
        <f t="shared" si="7"/>
        <v>92</v>
      </c>
      <c r="C98" s="5">
        <f t="shared" si="5"/>
        <v>4.6324596200254424E-12</v>
      </c>
      <c r="D98" s="5">
        <f t="shared" si="6"/>
        <v>2.3318559828647026E-12</v>
      </c>
    </row>
    <row r="99" spans="2:4">
      <c r="B99">
        <f t="shared" si="7"/>
        <v>93</v>
      </c>
      <c r="C99" s="5">
        <f t="shared" si="5"/>
        <v>1.582448894490122E-12</v>
      </c>
      <c r="D99" s="5">
        <f t="shared" si="6"/>
        <v>7.6791794204481811E-13</v>
      </c>
    </row>
    <row r="100" spans="2:4">
      <c r="B100">
        <f t="shared" si="7"/>
        <v>94</v>
      </c>
      <c r="C100" s="5">
        <f t="shared" si="5"/>
        <v>4.7439726930006937E-13</v>
      </c>
      <c r="D100" s="5">
        <f t="shared" si="6"/>
        <v>2.2151890997056373E-13</v>
      </c>
    </row>
    <row r="101" spans="2:4">
      <c r="B101">
        <f t="shared" si="7"/>
        <v>95</v>
      </c>
      <c r="C101" s="5">
        <f t="shared" si="5"/>
        <v>1.220607178350016E-13</v>
      </c>
      <c r="D101" s="5">
        <f t="shared" si="6"/>
        <v>5.4756402023037808E-14</v>
      </c>
    </row>
    <row r="102" spans="2:4">
      <c r="B102">
        <f>B101+1</f>
        <v>96</v>
      </c>
      <c r="C102" s="5">
        <f t="shared" si="5"/>
        <v>2.6168827488922121E-14</v>
      </c>
      <c r="D102" s="5">
        <f t="shared" si="6"/>
        <v>1.1262729399884912E-14</v>
      </c>
    </row>
    <row r="103" spans="2:4">
      <c r="B103">
        <f t="shared" ref="B103:B104" si="8">B102+1</f>
        <v>97</v>
      </c>
      <c r="C103" s="5">
        <f t="shared" si="5"/>
        <v>4.4824958067173657E-15</v>
      </c>
      <c r="D103" s="5">
        <f t="shared" si="6"/>
        <v>1.8487504140972018E-15</v>
      </c>
    </row>
    <row r="104" spans="2:4">
      <c r="B104">
        <f t="shared" si="8"/>
        <v>98</v>
      </c>
      <c r="C104" s="5">
        <f t="shared" si="5"/>
        <v>5.7453520400998118E-16</v>
      </c>
      <c r="D104" s="5">
        <f t="shared" si="6"/>
        <v>2.268547435533292E-16</v>
      </c>
    </row>
    <row r="105" spans="2:4">
      <c r="B105">
        <f>B104+1</f>
        <v>99</v>
      </c>
      <c r="C105" s="5">
        <f t="shared" si="5"/>
        <v>4.8938874432712619E-17</v>
      </c>
      <c r="D105" s="5">
        <f t="shared" si="6"/>
        <v>1.8483971777776027E-17</v>
      </c>
    </row>
    <row r="106" spans="2:4">
      <c r="B106">
        <f t="shared" ref="B106" si="9">B105+1</f>
        <v>100</v>
      </c>
      <c r="C106" s="5">
        <f t="shared" si="5"/>
        <v>2.0762709454317119E-18</v>
      </c>
      <c r="D106" s="5">
        <f t="shared" si="6"/>
        <v>7.495938838222255E-19</v>
      </c>
    </row>
  </sheetData>
  <mergeCells count="3">
    <mergeCell ref="F4:G4"/>
    <mergeCell ref="J4:K4"/>
    <mergeCell ref="H4:I4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A1:B101"/>
  <sheetViews>
    <sheetView workbookViewId="0">
      <selection activeCell="A21" sqref="A21:XFD21"/>
    </sheetView>
  </sheetViews>
  <sheetFormatPr baseColWidth="10" defaultRowHeight="14.4"/>
  <cols>
    <col min="4" max="4" width="12" bestFit="1" customWidth="1"/>
  </cols>
  <sheetData>
    <row r="1" spans="1:2">
      <c r="A1">
        <v>-5.9983160371786202</v>
      </c>
      <c r="B1" s="1">
        <v>2.6522855361004201E-11</v>
      </c>
    </row>
    <row r="2" spans="1:2">
      <c r="A2">
        <v>-5.9911290719385404</v>
      </c>
      <c r="B2" s="1">
        <v>6.4432554451242694E-11</v>
      </c>
    </row>
    <row r="3" spans="1:2">
      <c r="A3">
        <v>-5.9782063967456596</v>
      </c>
      <c r="B3" s="1">
        <v>1.09301879047446E-10</v>
      </c>
    </row>
    <row r="4" spans="1:2">
      <c r="A4">
        <v>-5.9595575171271999</v>
      </c>
      <c r="B4" s="1">
        <v>1.66421871775182E-10</v>
      </c>
    </row>
    <row r="5" spans="1:2">
      <c r="A5">
        <v>-5.9351999452501998</v>
      </c>
      <c r="B5" s="1">
        <v>2.4332920761485399E-10</v>
      </c>
    </row>
    <row r="6" spans="1:2">
      <c r="A6">
        <v>-5.9051569297813202</v>
      </c>
      <c r="B6" s="1">
        <v>3.5130315004058002E-10</v>
      </c>
    </row>
    <row r="7" spans="1:2">
      <c r="A7">
        <v>-5.86945722171866</v>
      </c>
      <c r="B7" s="1">
        <v>5.0783968307138696E-10</v>
      </c>
    </row>
    <row r="8" spans="1:2">
      <c r="A8">
        <v>-5.8281350073490197</v>
      </c>
      <c r="B8" s="1">
        <v>7.40760996634895E-10</v>
      </c>
    </row>
    <row r="9" spans="1:2">
      <c r="A9">
        <v>-5.7812298649988003</v>
      </c>
      <c r="B9" s="1">
        <v>1.0951669613606899E-9</v>
      </c>
    </row>
    <row r="10" spans="1:2">
      <c r="A10">
        <v>-5.7287867236271399</v>
      </c>
      <c r="B10" s="1">
        <v>1.6453627417153E-9</v>
      </c>
    </row>
    <row r="11" spans="1:2">
      <c r="A11">
        <v>-5.6708558184278903</v>
      </c>
      <c r="B11" s="1">
        <v>2.51557066072283E-9</v>
      </c>
    </row>
    <row r="12" spans="1:2">
      <c r="A12">
        <v>-5.6074926421136704</v>
      </c>
      <c r="B12" s="1">
        <v>3.9162758669906401E-9</v>
      </c>
    </row>
    <row r="13" spans="1:2">
      <c r="A13">
        <v>-5.5387578914736801</v>
      </c>
      <c r="B13" s="1">
        <v>6.2086074183455898E-9</v>
      </c>
    </row>
    <row r="14" spans="1:2">
      <c r="A14">
        <v>-5.4647174090843604</v>
      </c>
      <c r="B14" s="1">
        <v>1.00193276747847E-8</v>
      </c>
    </row>
    <row r="15" spans="1:2">
      <c r="A15">
        <v>-5.3854421201572702</v>
      </c>
      <c r="B15" s="1">
        <v>1.6447677445667499E-8</v>
      </c>
    </row>
    <row r="16" spans="1:2">
      <c r="A16">
        <v>-5.3010079645521602</v>
      </c>
      <c r="B16" s="1">
        <v>2.7439632370689399E-8</v>
      </c>
    </row>
    <row r="17" spans="1:2">
      <c r="A17">
        <v>-5.2114958240047802</v>
      </c>
      <c r="B17" s="1">
        <v>4.6468083034176297E-8</v>
      </c>
    </row>
    <row r="18" spans="1:2">
      <c r="A18">
        <v>-5.1169914446310596</v>
      </c>
      <c r="B18" s="1">
        <v>7.9772620824720306E-8</v>
      </c>
    </row>
    <row r="19" spans="1:2">
      <c r="A19">
        <v>-5.0175853547777303</v>
      </c>
      <c r="B19" s="1">
        <v>1.3862217716031601E-7</v>
      </c>
    </row>
    <row r="20" spans="1:2">
      <c r="A20">
        <v>-4.9133727782955399</v>
      </c>
      <c r="B20" s="1">
        <v>2.4344213968267001E-7</v>
      </c>
    </row>
    <row r="21" spans="1:2">
      <c r="A21">
        <v>-4.80445354331692</v>
      </c>
      <c r="B21" s="1">
        <v>4.3132357095652599E-7</v>
      </c>
    </row>
    <row r="22" spans="1:2">
      <c r="A22">
        <v>-4.6909319866244497</v>
      </c>
      <c r="B22" s="1">
        <v>7.6962348334266301E-7</v>
      </c>
    </row>
    <row r="23" spans="1:2">
      <c r="A23">
        <v>-4.5729168537014901</v>
      </c>
      <c r="B23" s="1">
        <v>1.38042863509727E-6</v>
      </c>
    </row>
    <row r="24" spans="1:2">
      <c r="A24">
        <v>-4.4505211945600998</v>
      </c>
      <c r="B24" s="1">
        <v>2.4841534280048102E-6</v>
      </c>
    </row>
    <row r="25" spans="1:2">
      <c r="A25">
        <v>-4.3238622554460999</v>
      </c>
      <c r="B25" s="1">
        <v>4.4763166684073404E-6</v>
      </c>
    </row>
    <row r="26" spans="1:2">
      <c r="A26">
        <v>-4.1930613665246597</v>
      </c>
      <c r="B26" s="1">
        <v>8.0607631085209799E-6</v>
      </c>
    </row>
    <row r="27" spans="1:2">
      <c r="A27">
        <v>-4.0582438256541202</v>
      </c>
      <c r="B27" s="1">
        <v>1.4476721871783999E-5</v>
      </c>
    </row>
    <row r="28" spans="1:2">
      <c r="A28">
        <v>-3.9195387783590601</v>
      </c>
      <c r="B28" s="1">
        <v>2.5877603141494E-5</v>
      </c>
    </row>
    <row r="29" spans="1:2">
      <c r="A29">
        <v>-3.7770790941178598</v>
      </c>
      <c r="B29" s="1">
        <v>4.5947121030754299E-5</v>
      </c>
    </row>
    <row r="30" spans="1:2">
      <c r="A30">
        <v>-3.6310012390829098</v>
      </c>
      <c r="B30" s="1">
        <v>8.0871887608121502E-5</v>
      </c>
    </row>
    <row r="31" spans="1:2">
      <c r="A31">
        <v>-3.4814451453556399</v>
      </c>
      <c r="B31">
        <v>1.4082326709374099E-4</v>
      </c>
    </row>
    <row r="32" spans="1:2">
      <c r="A32">
        <v>-3.3285540769414399</v>
      </c>
      <c r="B32">
        <v>2.4212143891228001E-4</v>
      </c>
    </row>
    <row r="33" spans="1:2">
      <c r="A33">
        <v>-3.1724744925128299</v>
      </c>
      <c r="B33">
        <v>4.1023640573422299E-4</v>
      </c>
    </row>
    <row r="34" spans="1:2">
      <c r="A34">
        <v>-3.0133559051125101</v>
      </c>
      <c r="B34">
        <v>6.8368610833250895E-4</v>
      </c>
    </row>
    <row r="35" spans="1:2">
      <c r="A35">
        <v>-2.8513507389304502</v>
      </c>
      <c r="B35">
        <v>1.11867333162722E-3</v>
      </c>
    </row>
    <row r="36" spans="1:2">
      <c r="A36">
        <v>-2.6866141832924102</v>
      </c>
      <c r="B36">
        <v>1.79391732833592E-3</v>
      </c>
    </row>
    <row r="37" spans="1:2">
      <c r="A37">
        <v>-2.5193040439996</v>
      </c>
      <c r="B37">
        <v>2.8145717766930702E-3</v>
      </c>
    </row>
    <row r="38" spans="1:2">
      <c r="A38">
        <v>-2.3495805921620501</v>
      </c>
      <c r="B38">
        <v>4.3134399248191202E-3</v>
      </c>
    </row>
    <row r="39" spans="1:2">
      <c r="A39">
        <v>-2.1776064106702799</v>
      </c>
      <c r="B39">
        <v>6.4470791108020599E-3</v>
      </c>
    </row>
    <row r="40" spans="1:2">
      <c r="A40">
        <v>-2.0035462384525902</v>
      </c>
      <c r="B40">
        <v>9.3841442131772507E-3</v>
      </c>
    </row>
    <row r="41" spans="1:2">
      <c r="A41">
        <v>-1.82756681266687</v>
      </c>
      <c r="B41">
        <v>1.3283860067018999E-2</v>
      </c>
    </row>
    <row r="42" spans="1:2">
      <c r="A42">
        <v>-1.64983670897843</v>
      </c>
      <c r="B42">
        <v>1.8264201973561E-2</v>
      </c>
    </row>
    <row r="43" spans="1:2">
      <c r="A43">
        <v>-1.4705261800765099</v>
      </c>
      <c r="B43">
        <v>2.4362301309875298E-2</v>
      </c>
    </row>
    <row r="44" spans="1:2">
      <c r="A44">
        <v>-1.28980699258445</v>
      </c>
      <c r="B44">
        <v>3.1493370127712E-2</v>
      </c>
    </row>
    <row r="45" spans="1:2">
      <c r="A45">
        <v>-1.1078522625195399</v>
      </c>
      <c r="B45">
        <v>3.9418006353553699E-2</v>
      </c>
    </row>
    <row r="46" spans="1:2">
      <c r="A46">
        <v>-0.92483628946029395</v>
      </c>
      <c r="B46">
        <v>4.7729560417238998E-2</v>
      </c>
    </row>
    <row r="47" spans="1:2">
      <c r="A47">
        <v>-0.74093438957993896</v>
      </c>
      <c r="B47">
        <v>5.5871789211257197E-2</v>
      </c>
    </row>
    <row r="48" spans="1:2">
      <c r="A48">
        <v>-0.55632272770609503</v>
      </c>
      <c r="B48">
        <v>6.31915412089539E-2</v>
      </c>
    </row>
    <row r="49" spans="1:2">
      <c r="A49">
        <v>-0.37117814856748998</v>
      </c>
      <c r="B49">
        <v>6.9022416345916202E-2</v>
      </c>
    </row>
    <row r="50" spans="1:2">
      <c r="A50">
        <v>-0.185678007389389</v>
      </c>
      <c r="B50">
        <v>7.2785585174428402E-2</v>
      </c>
    </row>
    <row r="51" spans="1:2">
      <c r="A51">
        <v>0</v>
      </c>
      <c r="B51">
        <v>7.40866363465391E-2</v>
      </c>
    </row>
    <row r="52" spans="1:2">
      <c r="A52">
        <v>0.185678007389389</v>
      </c>
      <c r="B52">
        <v>7.2785585174428402E-2</v>
      </c>
    </row>
    <row r="53" spans="1:2">
      <c r="A53">
        <v>0.37117814856748998</v>
      </c>
      <c r="B53">
        <v>6.9022416345916202E-2</v>
      </c>
    </row>
    <row r="54" spans="1:2">
      <c r="A54">
        <v>0.55632272770609503</v>
      </c>
      <c r="B54">
        <v>6.31915412089539E-2</v>
      </c>
    </row>
    <row r="55" spans="1:2">
      <c r="A55">
        <v>0.74093438957993896</v>
      </c>
      <c r="B55">
        <v>5.5871789211257197E-2</v>
      </c>
    </row>
    <row r="56" spans="1:2">
      <c r="A56">
        <v>0.92483628946029395</v>
      </c>
      <c r="B56">
        <v>4.7729560417238998E-2</v>
      </c>
    </row>
    <row r="57" spans="1:2">
      <c r="A57">
        <v>1.1078522625195399</v>
      </c>
      <c r="B57">
        <v>3.9418006353553699E-2</v>
      </c>
    </row>
    <row r="58" spans="1:2">
      <c r="A58">
        <v>1.28980699258445</v>
      </c>
      <c r="B58">
        <v>3.1493370127712E-2</v>
      </c>
    </row>
    <row r="59" spans="1:2">
      <c r="A59">
        <v>1.4705261800765099</v>
      </c>
      <c r="B59">
        <v>2.4362301309875298E-2</v>
      </c>
    </row>
    <row r="60" spans="1:2">
      <c r="A60">
        <v>1.64983670897843</v>
      </c>
      <c r="B60">
        <v>1.8264201973561E-2</v>
      </c>
    </row>
    <row r="61" spans="1:2">
      <c r="A61">
        <v>1.82756681266687</v>
      </c>
      <c r="B61">
        <v>1.3283860067018999E-2</v>
      </c>
    </row>
    <row r="62" spans="1:2">
      <c r="A62">
        <v>2.0035462384525902</v>
      </c>
      <c r="B62">
        <v>9.3841442131772507E-3</v>
      </c>
    </row>
    <row r="63" spans="1:2">
      <c r="A63">
        <v>2.1776064106702799</v>
      </c>
      <c r="B63">
        <v>6.4470791108020599E-3</v>
      </c>
    </row>
    <row r="64" spans="1:2">
      <c r="A64">
        <v>2.3495805921620501</v>
      </c>
      <c r="B64">
        <v>4.3134399248191202E-3</v>
      </c>
    </row>
    <row r="65" spans="1:2">
      <c r="A65">
        <v>2.5193040439996</v>
      </c>
      <c r="B65">
        <v>2.8145717766930702E-3</v>
      </c>
    </row>
    <row r="66" spans="1:2">
      <c r="A66">
        <v>2.6866141832924102</v>
      </c>
      <c r="B66">
        <v>1.79391732833592E-3</v>
      </c>
    </row>
    <row r="67" spans="1:2">
      <c r="A67">
        <v>2.8513507389304502</v>
      </c>
      <c r="B67">
        <v>1.11867333162722E-3</v>
      </c>
    </row>
    <row r="68" spans="1:2">
      <c r="A68">
        <v>3.0133559051125101</v>
      </c>
      <c r="B68">
        <v>6.8368610833250895E-4</v>
      </c>
    </row>
    <row r="69" spans="1:2">
      <c r="A69">
        <v>3.1724744925128299</v>
      </c>
      <c r="B69">
        <v>4.1023640573422299E-4</v>
      </c>
    </row>
    <row r="70" spans="1:2">
      <c r="A70">
        <v>3.3285540769414399</v>
      </c>
      <c r="B70">
        <v>2.4212143891228001E-4</v>
      </c>
    </row>
    <row r="71" spans="1:2">
      <c r="A71">
        <v>3.4814451453556399</v>
      </c>
      <c r="B71">
        <v>1.4082326709374099E-4</v>
      </c>
    </row>
    <row r="72" spans="1:2">
      <c r="A72">
        <v>3.6310012390829098</v>
      </c>
      <c r="B72" s="1">
        <v>8.0871887608121502E-5</v>
      </c>
    </row>
    <row r="73" spans="1:2">
      <c r="A73">
        <v>3.7770790941178598</v>
      </c>
      <c r="B73" s="1">
        <v>4.5947121030754299E-5</v>
      </c>
    </row>
    <row r="74" spans="1:2">
      <c r="A74">
        <v>3.9195387783590601</v>
      </c>
      <c r="B74" s="1">
        <v>2.5877603141494E-5</v>
      </c>
    </row>
    <row r="75" spans="1:2">
      <c r="A75">
        <v>4.0582438256541202</v>
      </c>
      <c r="B75" s="1">
        <v>1.4476721871783999E-5</v>
      </c>
    </row>
    <row r="76" spans="1:2">
      <c r="A76">
        <v>4.1930613665246597</v>
      </c>
      <c r="B76" s="1">
        <v>8.0607631085209799E-6</v>
      </c>
    </row>
    <row r="77" spans="1:2">
      <c r="A77">
        <v>4.3238622554460999</v>
      </c>
      <c r="B77" s="1">
        <v>4.4763166684073404E-6</v>
      </c>
    </row>
    <row r="78" spans="1:2">
      <c r="A78">
        <v>4.4505211945600998</v>
      </c>
      <c r="B78" s="1">
        <v>2.4841534280048102E-6</v>
      </c>
    </row>
    <row r="79" spans="1:2">
      <c r="A79">
        <v>4.5729168537014901</v>
      </c>
      <c r="B79" s="1">
        <v>1.38042863509727E-6</v>
      </c>
    </row>
    <row r="80" spans="1:2">
      <c r="A80">
        <v>4.6909319866244497</v>
      </c>
      <c r="B80" s="1">
        <v>7.6962348334266301E-7</v>
      </c>
    </row>
    <row r="81" spans="1:2">
      <c r="A81">
        <v>4.80445354331692</v>
      </c>
      <c r="B81" s="1">
        <v>4.3132357095652599E-7</v>
      </c>
    </row>
    <row r="82" spans="1:2">
      <c r="A82">
        <v>4.9133727782955399</v>
      </c>
      <c r="B82" s="1">
        <v>2.4344213968267001E-7</v>
      </c>
    </row>
    <row r="83" spans="1:2">
      <c r="A83">
        <v>5.0175853547777303</v>
      </c>
      <c r="B83" s="1">
        <v>1.3862217716031601E-7</v>
      </c>
    </row>
    <row r="84" spans="1:2">
      <c r="A84">
        <v>5.1169914446310596</v>
      </c>
      <c r="B84" s="1">
        <v>7.9772620824720306E-8</v>
      </c>
    </row>
    <row r="85" spans="1:2">
      <c r="A85">
        <v>5.2114958240047802</v>
      </c>
      <c r="B85" s="1">
        <v>4.6468083034176297E-8</v>
      </c>
    </row>
    <row r="86" spans="1:2">
      <c r="A86">
        <v>5.3010079645521602</v>
      </c>
      <c r="B86" s="1">
        <v>2.7439632370689399E-8</v>
      </c>
    </row>
    <row r="87" spans="1:2">
      <c r="A87">
        <v>5.3854421201572702</v>
      </c>
      <c r="B87" s="1">
        <v>1.6447677445667499E-8</v>
      </c>
    </row>
    <row r="88" spans="1:2">
      <c r="A88">
        <v>5.4647174090843604</v>
      </c>
      <c r="B88" s="1">
        <v>1.00193276747847E-8</v>
      </c>
    </row>
    <row r="89" spans="1:2">
      <c r="A89">
        <v>5.5387578914736801</v>
      </c>
      <c r="B89" s="1">
        <v>6.2086074183455898E-9</v>
      </c>
    </row>
    <row r="90" spans="1:2">
      <c r="A90">
        <v>5.6074926421136704</v>
      </c>
      <c r="B90" s="1">
        <v>3.9162758669906401E-9</v>
      </c>
    </row>
    <row r="91" spans="1:2">
      <c r="A91">
        <v>5.6708558184278903</v>
      </c>
      <c r="B91" s="1">
        <v>2.51557066072283E-9</v>
      </c>
    </row>
    <row r="92" spans="1:2">
      <c r="A92">
        <v>5.7287867236271399</v>
      </c>
      <c r="B92" s="1">
        <v>1.6453627417153E-9</v>
      </c>
    </row>
    <row r="93" spans="1:2">
      <c r="A93">
        <v>5.7812298649988003</v>
      </c>
      <c r="B93" s="1">
        <v>1.0951669613606899E-9</v>
      </c>
    </row>
    <row r="94" spans="1:2">
      <c r="A94">
        <v>5.8281350073490197</v>
      </c>
      <c r="B94" s="1">
        <v>7.40760996634895E-10</v>
      </c>
    </row>
    <row r="95" spans="1:2">
      <c r="A95">
        <v>5.86945722171866</v>
      </c>
      <c r="B95" s="1">
        <v>5.0783968307138696E-10</v>
      </c>
    </row>
    <row r="96" spans="1:2">
      <c r="A96">
        <v>5.9051569297813202</v>
      </c>
      <c r="B96" s="1">
        <v>3.5130315004058002E-10</v>
      </c>
    </row>
    <row r="97" spans="1:2">
      <c r="A97">
        <v>5.9351999452501998</v>
      </c>
      <c r="B97" s="1">
        <v>2.4332920761485399E-10</v>
      </c>
    </row>
    <row r="98" spans="1:2">
      <c r="A98">
        <v>5.9595575171271999</v>
      </c>
      <c r="B98" s="1">
        <v>1.66421871775182E-10</v>
      </c>
    </row>
    <row r="99" spans="1:2">
      <c r="A99">
        <v>5.9782063967456596</v>
      </c>
      <c r="B99" s="1">
        <v>1.09301879047446E-10</v>
      </c>
    </row>
    <row r="100" spans="1:2">
      <c r="A100">
        <v>5.9911290719385404</v>
      </c>
      <c r="B100" s="1">
        <v>6.4432554451242694E-11</v>
      </c>
    </row>
    <row r="101" spans="1:2">
      <c r="A101">
        <v>5.9983160371786202</v>
      </c>
      <c r="B101" s="1">
        <v>2.6522855361004201E-11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CDO</vt:lpstr>
      <vt:lpstr>CDO Sensi</vt:lpstr>
      <vt:lpstr>GaussLegendre</vt:lpstr>
      <vt:lpstr>GL_points</vt:lpstr>
      <vt:lpstr>GL_weights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2014-04-18T13:46:24Z</dcterms:created>
  <dcterms:modified xsi:type="dcterms:W3CDTF">2014-04-18T15:27:33Z</dcterms:modified>
</cp:coreProperties>
</file>