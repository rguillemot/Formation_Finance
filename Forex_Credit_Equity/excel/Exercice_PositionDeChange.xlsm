
<file path=[Content_Types].xml><?xml version="1.0" encoding="utf-8"?>
<Types xmlns="http://schemas.openxmlformats.org/package/2006/content-types"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/>
  <workbookPr codeName="ThisWorkbook" defaultThemeVersion="124226"/>
  <bookViews>
    <workbookView xWindow="480" yWindow="84" windowWidth="22068" windowHeight="9480"/>
  </bookViews>
  <sheets>
    <sheet name="Feuil1" sheetId="1" r:id="rId1"/>
    <sheet name="Feuil2" sheetId="2" r:id="rId2"/>
    <sheet name="Feuil3" sheetId="3" r:id="rId3"/>
  </sheets>
  <calcPr calcId="124519"/>
</workbook>
</file>

<file path=xl/calcChain.xml><?xml version="1.0" encoding="utf-8"?>
<calcChain xmlns="http://schemas.openxmlformats.org/spreadsheetml/2006/main">
  <c r="C12" i="1"/>
  <c r="B12"/>
  <c r="C11"/>
  <c r="C10"/>
  <c r="B10"/>
  <c r="E6"/>
  <c r="C8"/>
  <c r="C7"/>
  <c r="C6"/>
  <c r="H10"/>
  <c r="H9"/>
  <c r="B7" s="1"/>
  <c r="B11" s="1"/>
  <c r="D7" l="1"/>
  <c r="E7" s="1"/>
  <c r="E8" s="1"/>
  <c r="B6"/>
  <c r="D6" s="1"/>
  <c r="B8"/>
  <c r="D8" l="1"/>
</calcChain>
</file>

<file path=xl/sharedStrings.xml><?xml version="1.0" encoding="utf-8"?>
<sst xmlns="http://schemas.openxmlformats.org/spreadsheetml/2006/main" count="24" uniqueCount="19">
  <si>
    <t>S</t>
  </si>
  <si>
    <t>rEUR</t>
  </si>
  <si>
    <t>rUSD</t>
  </si>
  <si>
    <t>m</t>
  </si>
  <si>
    <t>T</t>
  </si>
  <si>
    <t>vol</t>
  </si>
  <si>
    <t>DFEUR</t>
  </si>
  <si>
    <t>DFUSD</t>
  </si>
  <si>
    <t>Opération 1</t>
  </si>
  <si>
    <t>Opération 2</t>
  </si>
  <si>
    <t>EUR</t>
  </si>
  <si>
    <t>USD</t>
  </si>
  <si>
    <t>PVEUR</t>
  </si>
  <si>
    <t>PVUSD</t>
  </si>
  <si>
    <t>TOTAL USD</t>
  </si>
  <si>
    <t>TOTAL</t>
  </si>
  <si>
    <t>Sensi EUR</t>
  </si>
  <si>
    <t>Sensi USD</t>
  </si>
  <si>
    <t>TOTAL EUR</t>
  </si>
</sst>
</file>

<file path=xl/styles.xml><?xml version="1.0" encoding="utf-8"?>
<styleSheet xmlns="http://schemas.openxmlformats.org/spreadsheetml/2006/main">
  <numFmts count="4">
    <numFmt numFmtId="43" formatCode="_-* #,##0.00\ _€_-;\-* #,##0.00\ _€_-;_-* &quot;-&quot;??\ _€_-;_-@_-"/>
    <numFmt numFmtId="167" formatCode="0.0000"/>
    <numFmt numFmtId="169" formatCode="_-* #,##0\ _€_-;\-* #,##0\ _€_-;_-* &quot;-&quot;??\ _€_-;_-@_-"/>
    <numFmt numFmtId="174" formatCode="_-* #,##0\ _€_-;\-* #,##0\ _€_-;_-* &quot;-&quot;????\ _€_-;_-@_-"/>
  </numFmts>
  <fonts count="3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7">
    <xf numFmtId="0" fontId="0" fillId="0" borderId="0" xfId="0"/>
    <xf numFmtId="9" fontId="0" fillId="0" borderId="0" xfId="0" applyNumberFormat="1"/>
    <xf numFmtId="10" fontId="0" fillId="0" borderId="0" xfId="0" applyNumberFormat="1"/>
    <xf numFmtId="167" fontId="0" fillId="0" borderId="0" xfId="0" applyNumberFormat="1"/>
    <xf numFmtId="169" fontId="0" fillId="0" borderId="0" xfId="1" applyNumberFormat="1" applyFont="1"/>
    <xf numFmtId="0" fontId="2" fillId="0" borderId="0" xfId="0" applyFont="1"/>
    <xf numFmtId="174" fontId="0" fillId="0" borderId="0" xfId="0" applyNumberFormat="1"/>
  </cellXfs>
  <cellStyles count="2">
    <cellStyle name="Milliers" xfId="1" builtinId="3"/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sheetPr codeName="Feuil1"/>
  <dimension ref="A2:H12"/>
  <sheetViews>
    <sheetView tabSelected="1" zoomScale="200" zoomScaleNormal="200" workbookViewId="0">
      <selection activeCell="D8" sqref="D8"/>
    </sheetView>
  </sheetViews>
  <sheetFormatPr baseColWidth="10" defaultRowHeight="14.4"/>
  <cols>
    <col min="2" max="3" width="13.88671875" bestFit="1" customWidth="1"/>
    <col min="4" max="4" width="10.44140625" bestFit="1" customWidth="1"/>
    <col min="5" max="5" width="10.33203125" bestFit="1" customWidth="1"/>
    <col min="6" max="6" width="7.21875" customWidth="1"/>
  </cols>
  <sheetData>
    <row r="2" spans="1:8">
      <c r="B2" s="5" t="s">
        <v>10</v>
      </c>
      <c r="C2" s="5" t="s">
        <v>11</v>
      </c>
      <c r="G2" s="5" t="s">
        <v>0</v>
      </c>
      <c r="H2">
        <v>1.3889</v>
      </c>
    </row>
    <row r="3" spans="1:8">
      <c r="A3" s="5" t="s">
        <v>8</v>
      </c>
      <c r="B3" s="4">
        <v>-100000000</v>
      </c>
      <c r="C3" s="4">
        <v>138800000</v>
      </c>
      <c r="G3" s="5" t="s">
        <v>2</v>
      </c>
      <c r="H3" s="2">
        <v>3.0000000000000001E-3</v>
      </c>
    </row>
    <row r="4" spans="1:8">
      <c r="A4" s="5" t="s">
        <v>9</v>
      </c>
      <c r="B4" s="4">
        <v>72080000</v>
      </c>
      <c r="C4" s="4">
        <v>-100000000</v>
      </c>
      <c r="G4" s="5" t="s">
        <v>1</v>
      </c>
      <c r="H4" s="2">
        <v>5.0000000000000001E-3</v>
      </c>
    </row>
    <row r="5" spans="1:8">
      <c r="B5" s="5" t="s">
        <v>12</v>
      </c>
      <c r="C5" s="5" t="s">
        <v>13</v>
      </c>
      <c r="D5" s="5" t="s">
        <v>14</v>
      </c>
      <c r="E5" s="5" t="s">
        <v>18</v>
      </c>
      <c r="G5" s="5" t="s">
        <v>3</v>
      </c>
      <c r="H5" s="2">
        <v>1E-3</v>
      </c>
    </row>
    <row r="6" spans="1:8">
      <c r="A6" s="5" t="s">
        <v>8</v>
      </c>
      <c r="B6" s="6">
        <f>B3*$H$9</f>
        <v>-99600798.934399143</v>
      </c>
      <c r="C6" s="6">
        <f>C3*$H$10</f>
        <v>138384223.97586817</v>
      </c>
      <c r="D6" s="6">
        <f>B6*$H$2+C6</f>
        <v>48674.335881203413</v>
      </c>
      <c r="E6" s="6">
        <f>D6/$H$2</f>
        <v>35045.241472534675</v>
      </c>
      <c r="G6" s="5" t="s">
        <v>4</v>
      </c>
      <c r="H6">
        <v>1</v>
      </c>
    </row>
    <row r="7" spans="1:8">
      <c r="A7" s="5" t="s">
        <v>9</v>
      </c>
      <c r="B7" s="6">
        <f>B4*$H$9</f>
        <v>71792255.871914908</v>
      </c>
      <c r="C7" s="6">
        <f>C4*$H$10</f>
        <v>-99700449.5503373</v>
      </c>
      <c r="D7" s="6">
        <f>B7*$H$2+C7</f>
        <v>11814.630165323615</v>
      </c>
      <c r="E7" s="6">
        <f>D7/$H$2</f>
        <v>8506.4656673076643</v>
      </c>
      <c r="G7" s="5" t="s">
        <v>5</v>
      </c>
      <c r="H7" s="1">
        <v>0.12</v>
      </c>
    </row>
    <row r="8" spans="1:8">
      <c r="A8" s="5" t="s">
        <v>15</v>
      </c>
      <c r="B8" s="6">
        <f>B7+B6</f>
        <v>-27808543.062484235</v>
      </c>
      <c r="C8" s="6">
        <f>C7+C6</f>
        <v>38683774.425530866</v>
      </c>
      <c r="D8" s="6">
        <f>D6+D7</f>
        <v>60488.966046527028</v>
      </c>
      <c r="E8" s="6">
        <f>E6+E7</f>
        <v>43551.707139842343</v>
      </c>
      <c r="G8" s="5"/>
    </row>
    <row r="9" spans="1:8">
      <c r="B9" s="5" t="s">
        <v>16</v>
      </c>
      <c r="C9" s="5" t="s">
        <v>17</v>
      </c>
      <c r="G9" s="5" t="s">
        <v>6</v>
      </c>
      <c r="H9" s="3">
        <f>EXP(-(H4-H5)*H6)</f>
        <v>0.99600798934399148</v>
      </c>
    </row>
    <row r="10" spans="1:8">
      <c r="A10" s="5" t="s">
        <v>8</v>
      </c>
      <c r="B10" s="6">
        <f>B6/10000</f>
        <v>-9960.0798934399136</v>
      </c>
      <c r="C10" s="6">
        <f>C6/10000</f>
        <v>13838.422397586817</v>
      </c>
      <c r="G10" s="5" t="s">
        <v>7</v>
      </c>
      <c r="H10" s="3">
        <f>EXP(-H3*H6)</f>
        <v>0.997004495503373</v>
      </c>
    </row>
    <row r="11" spans="1:8">
      <c r="A11" s="5" t="s">
        <v>9</v>
      </c>
      <c r="B11" s="6">
        <f>B7/10000</f>
        <v>7179.2255871914904</v>
      </c>
      <c r="C11" s="6">
        <f>C7/10000</f>
        <v>-9970.0449550337307</v>
      </c>
    </row>
    <row r="12" spans="1:8">
      <c r="A12" s="5" t="s">
        <v>15</v>
      </c>
      <c r="B12" s="6">
        <f>B10+B11</f>
        <v>-2780.8543062484232</v>
      </c>
      <c r="C12" s="6">
        <f>C10+C11</f>
        <v>3868.3774425530864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Feuil2"/>
  <dimension ref="A1"/>
  <sheetViews>
    <sheetView workbookViewId="0"/>
  </sheetViews>
  <sheetFormatPr baseColWidth="10" defaultRowHeight="14.4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Feuil3"/>
  <dimension ref="A1"/>
  <sheetViews>
    <sheetView workbookViewId="0"/>
  </sheetViews>
  <sheetFormatPr baseColWidth="10" defaultRowHeight="14.4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Feuil1</vt:lpstr>
      <vt:lpstr>Feuil2</vt:lpstr>
      <vt:lpstr>Feuil3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Richard</dc:creator>
  <cp:lastModifiedBy>Richard</cp:lastModifiedBy>
  <dcterms:created xsi:type="dcterms:W3CDTF">2014-04-14T06:46:41Z</dcterms:created>
  <dcterms:modified xsi:type="dcterms:W3CDTF">2014-04-14T07:21:46Z</dcterms:modified>
</cp:coreProperties>
</file>