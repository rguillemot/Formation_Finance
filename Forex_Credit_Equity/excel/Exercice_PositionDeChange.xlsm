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96" windowWidth="19416" windowHeight="9480"/>
  </bookViews>
  <sheets>
    <sheet name="Feuil1" sheetId="1" r:id="rId1"/>
    <sheet name="Feuil2" sheetId="2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H10" i="1"/>
  <c r="C7" s="1"/>
  <c r="H9"/>
  <c r="B7" s="1"/>
  <c r="B11" s="1"/>
  <c r="C11" l="1"/>
  <c r="C6"/>
  <c r="C10" s="1"/>
  <c r="D7"/>
  <c r="E7" s="1"/>
  <c r="B6"/>
  <c r="C12" l="1"/>
  <c r="D6"/>
  <c r="E6" s="1"/>
  <c r="E8" s="1"/>
  <c r="B10"/>
  <c r="B12" s="1"/>
  <c r="B8"/>
  <c r="C8"/>
  <c r="D8" l="1"/>
</calcChain>
</file>

<file path=xl/sharedStrings.xml><?xml version="1.0" encoding="utf-8"?>
<sst xmlns="http://schemas.openxmlformats.org/spreadsheetml/2006/main" count="24" uniqueCount="19">
  <si>
    <t>S</t>
  </si>
  <si>
    <t>rEUR</t>
  </si>
  <si>
    <t>rUSD</t>
  </si>
  <si>
    <t>m</t>
  </si>
  <si>
    <t>T</t>
  </si>
  <si>
    <t>vol</t>
  </si>
  <si>
    <t>DFEUR</t>
  </si>
  <si>
    <t>DFUSD</t>
  </si>
  <si>
    <t>Opération 1</t>
  </si>
  <si>
    <t>Opération 2</t>
  </si>
  <si>
    <t>EUR</t>
  </si>
  <si>
    <t>USD</t>
  </si>
  <si>
    <t>PVEUR</t>
  </si>
  <si>
    <t>PVUSD</t>
  </si>
  <si>
    <t>TOTAL USD</t>
  </si>
  <si>
    <t>TOTAL</t>
  </si>
  <si>
    <t>Sensi EUR</t>
  </si>
  <si>
    <t>Sensi USD</t>
  </si>
  <si>
    <t>TOTAL EUR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</si>
</sst>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H12"/>
  <sheetViews>
    <sheetView tabSelected="1" topLeftCell="A2" zoomScale="200" zoomScaleNormal="200" workbookViewId="0">
      <selection activeCell="A11" sqref="A11"/>
    </sheetView>
  </sheetViews>
  <sheetFormatPr baseColWidth="10" defaultRowHeight="14.4"/>
  <cols>
    <col min="2" max="3" width="14.44140625" bestFit="1" customWidth="1"/>
    <col min="4" max="5" width="13.33203125" bestFit="1" customWidth="1"/>
    <col min="6" max="6" width="7.33203125" customWidth="1"/>
  </cols>
  <sheetData>
    <row r="2" spans="1:8">
      <c r="B2" s="5" t="s">
        <v>10</v>
      </c>
      <c r="C2" s="5" t="s">
        <v>11</v>
      </c>
      <c r="G2" s="5" t="s">
        <v>0</v>
      </c>
      <c r="H2">
        <v>1.1162000000000001</v>
      </c>
    </row>
    <row r="3" spans="1:8">
      <c r="A3" s="5" t="s">
        <v>8</v>
      </c>
      <c r="B3" s="4">
        <v>-100000000</v>
      </c>
      <c r="C3" s="4">
        <v>112000000</v>
      </c>
      <c r="G3" s="5" t="s">
        <v>2</v>
      </c>
      <c r="H3" s="2">
        <v>8.0999999999999996E-3</v>
      </c>
    </row>
    <row r="4" spans="1:8">
      <c r="A4" s="5" t="s">
        <v>9</v>
      </c>
      <c r="B4" s="4">
        <v>90000000</v>
      </c>
      <c r="C4" s="4">
        <v>-100000000</v>
      </c>
      <c r="G4" s="5" t="s">
        <v>1</v>
      </c>
      <c r="H4" s="2">
        <v>-2.7000000000000001E-3</v>
      </c>
    </row>
    <row r="5" spans="1:8">
      <c r="B5" s="5" t="s">
        <v>12</v>
      </c>
      <c r="C5" s="5" t="s">
        <v>13</v>
      </c>
      <c r="D5" s="5" t="s">
        <v>14</v>
      </c>
      <c r="E5" s="5" t="s">
        <v>18</v>
      </c>
      <c r="G5" s="5" t="s">
        <v>3</v>
      </c>
      <c r="H5" s="2">
        <v>2.8999999999999998E-3</v>
      </c>
    </row>
    <row r="6" spans="1:8">
      <c r="A6" s="5" t="s">
        <v>8</v>
      </c>
      <c r="B6" s="6">
        <f>B3*$H$9</f>
        <v>-100561570.93103564</v>
      </c>
      <c r="C6" s="6">
        <f>C3*$H$10</f>
        <v>111096464.25982396</v>
      </c>
      <c r="D6" s="6">
        <f>B6*$H$2+C6</f>
        <v>-1150361.2133980244</v>
      </c>
      <c r="E6" s="6">
        <f>D6/$H$2</f>
        <v>-1030604.921517671</v>
      </c>
      <c r="G6" s="5" t="s">
        <v>4</v>
      </c>
      <c r="H6">
        <v>1</v>
      </c>
    </row>
    <row r="7" spans="1:8">
      <c r="A7" s="5" t="s">
        <v>9</v>
      </c>
      <c r="B7" s="6">
        <f>B4*$H$9</f>
        <v>90505413.83793208</v>
      </c>
      <c r="C7" s="6">
        <f>C4*$H$10</f>
        <v>-99193271.660557121</v>
      </c>
      <c r="D7" s="6">
        <f>B7*$H$2+C7</f>
        <v>1828871.2653426677</v>
      </c>
      <c r="E7" s="6">
        <f>D7/$H$2</f>
        <v>1638479.9008624507</v>
      </c>
      <c r="G7" s="5" t="s">
        <v>5</v>
      </c>
      <c r="H7" s="1">
        <v>0.12</v>
      </c>
    </row>
    <row r="8" spans="1:8">
      <c r="A8" s="5" t="s">
        <v>15</v>
      </c>
      <c r="B8" s="6">
        <f>B7+B6</f>
        <v>-10056157.093103558</v>
      </c>
      <c r="C8" s="6">
        <f>C7+C6</f>
        <v>11903192.599266842</v>
      </c>
      <c r="D8" s="6">
        <f>D6+D7</f>
        <v>678510.05194464326</v>
      </c>
      <c r="E8" s="6">
        <f>E6+E7</f>
        <v>607874.97934477974</v>
      </c>
      <c r="G8" s="5"/>
    </row>
    <row r="9" spans="1:8">
      <c r="B9" s="5" t="s">
        <v>16</v>
      </c>
      <c r="C9" s="5" t="s">
        <v>17</v>
      </c>
      <c r="G9" s="5" t="s">
        <v>6</v>
      </c>
      <c r="H9" s="3">
        <f>EXP(-(H4-H5)*H6)</f>
        <v>1.0056157093103564</v>
      </c>
    </row>
    <row r="10" spans="1:8">
      <c r="A10" s="5" t="s">
        <v>8</v>
      </c>
      <c r="B10" s="6">
        <f>B6/10000</f>
        <v>-10056.157093103564</v>
      </c>
      <c r="C10" s="6">
        <f>C6/10000</f>
        <v>11109.646425982397</v>
      </c>
      <c r="G10" s="5" t="s">
        <v>7</v>
      </c>
      <c r="H10" s="3">
        <f>EXP(-H3*H6)</f>
        <v>0.99193271660557114</v>
      </c>
    </row>
    <row r="11" spans="1:8">
      <c r="A11" s="5" t="s">
        <v>9</v>
      </c>
      <c r="B11" s="6">
        <f>B7/10000</f>
        <v>9050.5413837932083</v>
      </c>
      <c r="C11" s="6">
        <f>C7/10000</f>
        <v>-9919.327166055713</v>
      </c>
    </row>
    <row r="12" spans="1:8">
      <c r="A12" s="5" t="s">
        <v>15</v>
      </c>
      <c r="B12" s="6">
        <f>B10+B11</f>
        <v>-1005.6157093103557</v>
      </c>
      <c r="C12" s="6">
        <f>C10+C11</f>
        <v>1190.319259926684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2014-04-14T06:46:41Z</dcterms:created>
  <dcterms:modified xsi:type="dcterms:W3CDTF">2016-03-27T15:08:50Z</dcterms:modified>
</cp:coreProperties>
</file>