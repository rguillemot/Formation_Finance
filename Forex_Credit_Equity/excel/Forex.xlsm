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5268" yWindow="840" windowWidth="11556" windowHeight="9564" activeTab="5"/>
  </bookViews>
  <sheets>
    <sheet name="Smile FX" sheetId="1" r:id="rId1"/>
    <sheet name="Spline" sheetId="2" r:id="rId2"/>
    <sheet name="Smile FX + 1bp" sheetId="4" r:id="rId3"/>
    <sheet name="Spline + 1bp" sheetId="5" r:id="rId4"/>
    <sheet name="View" sheetId="3" r:id="rId5"/>
    <sheet name="Delta" sheetId="7" r:id="rId6"/>
    <sheet name="Digit" sheetId="8" r:id="rId7"/>
  </sheets>
  <functionGroups/>
  <definedNames>
    <definedName name="coeffa" localSheetId="3">'Spline + 1bp'!$F$10:$F$13</definedName>
    <definedName name="coeffa">Spline!$F$10:$F$13</definedName>
    <definedName name="coeffb" localSheetId="3">'Spline + 1bp'!$G$10:$G$13</definedName>
    <definedName name="coeffb">Spline!$G$10:$G$13</definedName>
    <definedName name="Ks" localSheetId="3">'Spline + 1bp'!$A$3:$A$7</definedName>
    <definedName name="Ks">Spline!$A$3:$A$7</definedName>
    <definedName name="Vols" localSheetId="3">'Spline + 1bp'!$B$3:$B$7</definedName>
    <definedName name="Vols">Spline!$B$3:$B$7</definedName>
  </definedNames>
  <calcPr calcId="124519"/>
</workbook>
</file>

<file path=xl/calcChain.xml><?xml version="1.0" encoding="utf-8"?>
<calcChain xmlns="http://schemas.openxmlformats.org/spreadsheetml/2006/main">
  <c r="J4" i="7"/>
  <c r="J5"/>
  <c r="J6"/>
  <c r="J7"/>
  <c r="J3"/>
  <c r="B5"/>
  <c r="A4" i="8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B1"/>
  <c r="B4" s="1"/>
  <c r="B5" i="5"/>
  <c r="I14" i="4"/>
  <c r="I13"/>
  <c r="C8"/>
  <c r="B7" i="5" s="1"/>
  <c r="C7" i="4"/>
  <c r="B6" i="5" s="1"/>
  <c r="C6" i="4"/>
  <c r="C5"/>
  <c r="B4" i="5" s="1"/>
  <c r="C4" i="4"/>
  <c r="B3" i="5" s="1"/>
  <c r="B5" i="8" l="1"/>
  <c r="D6" i="5"/>
  <c r="D4"/>
  <c r="D3"/>
  <c r="D5"/>
  <c r="C2" i="4"/>
  <c r="B6" i="8" l="1"/>
  <c r="F8" i="4"/>
  <c r="D8" s="1"/>
  <c r="A7" i="5" s="1"/>
  <c r="F7" i="4"/>
  <c r="D7" s="1"/>
  <c r="A6" i="5" s="1"/>
  <c r="F6" i="4"/>
  <c r="D6" s="1"/>
  <c r="A5" i="5" s="1"/>
  <c r="F5" i="4"/>
  <c r="D5" s="1"/>
  <c r="A4" i="5" s="1"/>
  <c r="F4" i="4"/>
  <c r="D4" s="1"/>
  <c r="A3" i="5" s="1"/>
  <c r="E6" i="4"/>
  <c r="E4"/>
  <c r="E8"/>
  <c r="E7"/>
  <c r="E5"/>
  <c r="C6" i="5" l="1"/>
  <c r="J7" s="1"/>
  <c r="B7" i="8"/>
  <c r="C3" i="5"/>
  <c r="E4" s="1"/>
  <c r="C5"/>
  <c r="C4"/>
  <c r="H7" l="1"/>
  <c r="I6"/>
  <c r="I7"/>
  <c r="H6"/>
  <c r="B8" i="8"/>
  <c r="F4" i="5"/>
  <c r="J3"/>
  <c r="J6"/>
  <c r="F3"/>
  <c r="E3"/>
  <c r="G6"/>
  <c r="H5"/>
  <c r="F5"/>
  <c r="G4"/>
  <c r="G5"/>
  <c r="J5"/>
  <c r="J4"/>
  <c r="E10" l="1" a="1"/>
  <c r="E10" s="1"/>
  <c r="F10" s="1"/>
  <c r="B9" i="8"/>
  <c r="B1" i="3"/>
  <c r="B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4"/>
  <c r="E14" i="5" l="1"/>
  <c r="G13" s="1"/>
  <c r="E13"/>
  <c r="F13" s="1"/>
  <c r="E12"/>
  <c r="F12" s="1"/>
  <c r="E11"/>
  <c r="G10" s="1"/>
  <c r="B10" i="8"/>
  <c r="G12" i="5"/>
  <c r="G11"/>
  <c r="B5" i="3"/>
  <c r="A5" i="2"/>
  <c r="B5"/>
  <c r="D6" i="1"/>
  <c r="E6"/>
  <c r="F11" i="5" l="1"/>
  <c r="B11" i="8"/>
  <c r="B6" i="3"/>
  <c r="B7" s="1"/>
  <c r="F6" i="1"/>
  <c r="C8"/>
  <c r="C4"/>
  <c r="C7"/>
  <c r="C5"/>
  <c r="C6"/>
  <c r="I14"/>
  <c r="I13"/>
  <c r="D5" i="7"/>
  <c r="B12" i="8" l="1"/>
  <c r="B8" i="3"/>
  <c r="B7" i="2"/>
  <c r="F8" i="1"/>
  <c r="D8" s="1"/>
  <c r="B7" i="7" s="1"/>
  <c r="B3" i="2"/>
  <c r="F4" i="1"/>
  <c r="D4" s="1"/>
  <c r="B6" i="2"/>
  <c r="F7" i="1"/>
  <c r="D7" s="1"/>
  <c r="B6" i="7" s="1"/>
  <c r="B4" i="2"/>
  <c r="F5" i="1"/>
  <c r="D5" s="1"/>
  <c r="B4" i="7" s="1"/>
  <c r="C2" i="1"/>
  <c r="E4"/>
  <c r="E8"/>
  <c r="D7" i="7"/>
  <c r="F7" s="1"/>
  <c r="E7" i="1"/>
  <c r="E5"/>
  <c r="D6" i="7"/>
  <c r="F6" s="1"/>
  <c r="F5"/>
  <c r="D4"/>
  <c r="F4" s="1"/>
  <c r="B3" l="1"/>
  <c r="B13" i="8"/>
  <c r="A3" i="2"/>
  <c r="D6"/>
  <c r="D5"/>
  <c r="D3"/>
  <c r="D4"/>
  <c r="B9" i="3"/>
  <c r="A7" i="2"/>
  <c r="A4"/>
  <c r="A6"/>
  <c r="D3" i="7"/>
  <c r="F3"/>
  <c r="B14" i="8" l="1"/>
  <c r="C3" i="2"/>
  <c r="C4"/>
  <c r="C6"/>
  <c r="C5"/>
  <c r="J5" s="1"/>
  <c r="B10" i="3"/>
  <c r="B15" i="8" l="1"/>
  <c r="J6" i="2"/>
  <c r="I7"/>
  <c r="H7"/>
  <c r="I6"/>
  <c r="E4"/>
  <c r="F4"/>
  <c r="F3"/>
  <c r="E3"/>
  <c r="J3"/>
  <c r="G6"/>
  <c r="H5"/>
  <c r="H6"/>
  <c r="G4"/>
  <c r="F5"/>
  <c r="G5"/>
  <c r="J7"/>
  <c r="J4"/>
  <c r="B11" i="3"/>
  <c r="B16" i="8" l="1"/>
  <c r="E10" i="2" a="1"/>
  <c r="E10" s="1"/>
  <c r="F10" s="1"/>
  <c r="B12" i="3"/>
  <c r="B17" i="8" l="1"/>
  <c r="E13" i="2"/>
  <c r="F13" s="1"/>
  <c r="E12"/>
  <c r="G11" s="1"/>
  <c r="E11"/>
  <c r="F11" s="1"/>
  <c r="E14"/>
  <c r="G13" s="1"/>
  <c r="F12"/>
  <c r="B13" i="3"/>
  <c r="B18" i="8" l="1"/>
  <c r="G12" i="2"/>
  <c r="G10"/>
  <c r="B14" i="3"/>
  <c r="D6" i="8"/>
  <c r="C4"/>
  <c r="C16"/>
  <c r="C13" i="3"/>
  <c r="D5" i="8"/>
  <c r="D13"/>
  <c r="D21"/>
  <c r="C11"/>
  <c r="C7" i="7"/>
  <c r="C7" i="3"/>
  <c r="D8" i="8"/>
  <c r="D16"/>
  <c r="D3"/>
  <c r="C10"/>
  <c r="C6" i="7"/>
  <c r="C11" i="3"/>
  <c r="C17" i="8"/>
  <c r="D7"/>
  <c r="D11"/>
  <c r="D15"/>
  <c r="D19"/>
  <c r="D23"/>
  <c r="C5"/>
  <c r="C9"/>
  <c r="C13"/>
  <c r="C18"/>
  <c r="C4" i="3"/>
  <c r="C8"/>
  <c r="C3"/>
  <c r="D10" i="8"/>
  <c r="D14"/>
  <c r="D18"/>
  <c r="D22"/>
  <c r="C8"/>
  <c r="C12"/>
  <c r="C10" i="3"/>
  <c r="C5"/>
  <c r="D9" i="8"/>
  <c r="D17"/>
  <c r="C3"/>
  <c r="C7"/>
  <c r="C15"/>
  <c r="C14" i="3"/>
  <c r="C6"/>
  <c r="D4" i="8"/>
  <c r="D12"/>
  <c r="D20"/>
  <c r="C6"/>
  <c r="C14"/>
  <c r="C12" i="3"/>
  <c r="C9"/>
  <c r="C5" i="7"/>
  <c r="C3"/>
  <c r="C4"/>
  <c r="I7"/>
  <c r="H7"/>
  <c r="H6"/>
  <c r="I6"/>
  <c r="I5"/>
  <c r="H5"/>
  <c r="I3"/>
  <c r="H3"/>
  <c r="H4"/>
  <c r="I4"/>
  <c r="D2" l="1"/>
  <c r="B19" i="8"/>
  <c r="B15" i="3"/>
  <c r="E15" i="8"/>
  <c r="E12"/>
  <c r="E9"/>
  <c r="E7" i="7"/>
  <c r="C19" i="8"/>
  <c r="E6"/>
  <c r="E17"/>
  <c r="E13"/>
  <c r="E10"/>
  <c r="E4"/>
  <c r="E14"/>
  <c r="E3"/>
  <c r="E18"/>
  <c r="E6" i="7"/>
  <c r="E7" i="8"/>
  <c r="E8"/>
  <c r="E5"/>
  <c r="E11"/>
  <c r="C15" i="3"/>
  <c r="E16" i="8"/>
  <c r="E5" i="7"/>
  <c r="E3"/>
  <c r="E4"/>
  <c r="G6" l="1"/>
  <c r="G7"/>
  <c r="G5"/>
  <c r="G3"/>
  <c r="G4"/>
  <c r="B20" i="8"/>
  <c r="B16" i="3"/>
  <c r="E19" i="8"/>
  <c r="C16" i="3"/>
  <c r="C20" i="8"/>
  <c r="B21" l="1"/>
  <c r="B17" i="3"/>
  <c r="C21" i="8"/>
  <c r="E20"/>
  <c r="C17" i="3"/>
  <c r="B22" i="8" l="1"/>
  <c r="B18" i="3"/>
  <c r="C22" i="8"/>
  <c r="E21"/>
  <c r="C18" i="3"/>
  <c r="B23" i="8" l="1"/>
  <c r="B19" i="3"/>
  <c r="C23" i="8"/>
  <c r="E22"/>
  <c r="C19" i="3"/>
  <c r="B20" l="1"/>
  <c r="C20"/>
  <c r="E23" i="8"/>
  <c r="B21" i="3" l="1"/>
  <c r="C21"/>
  <c r="B22" l="1"/>
  <c r="C22"/>
  <c r="B23" l="1"/>
  <c r="C23"/>
</calcChain>
</file>

<file path=xl/sharedStrings.xml><?xml version="1.0" encoding="utf-8"?>
<sst xmlns="http://schemas.openxmlformats.org/spreadsheetml/2006/main" count="62" uniqueCount="27">
  <si>
    <t>EURUSD</t>
  </si>
  <si>
    <t>rUSD</t>
  </si>
  <si>
    <t>rEUR</t>
  </si>
  <si>
    <t>m</t>
  </si>
  <si>
    <t>T</t>
  </si>
  <si>
    <t>RR25</t>
  </si>
  <si>
    <t>ATM</t>
  </si>
  <si>
    <t>RR10</t>
  </si>
  <si>
    <t>BF25</t>
  </si>
  <si>
    <t>BF10</t>
  </si>
  <si>
    <t>DFEUR</t>
  </si>
  <si>
    <t>DFUSD</t>
  </si>
  <si>
    <t>Fwd</t>
  </si>
  <si>
    <t>10DeltaPut</t>
  </si>
  <si>
    <t>25DeltaPut</t>
  </si>
  <si>
    <t>25DeltaCall</t>
  </si>
  <si>
    <t>10DeltaCall</t>
  </si>
  <si>
    <t>Vol</t>
  </si>
  <si>
    <t>K</t>
  </si>
  <si>
    <t>Delta</t>
  </si>
  <si>
    <t>Vols</t>
  </si>
  <si>
    <t>Deltax</t>
  </si>
  <si>
    <t>Deltay</t>
  </si>
  <si>
    <t>k</t>
  </si>
  <si>
    <t>a</t>
  </si>
  <si>
    <t>b</t>
  </si>
  <si>
    <t>Vol +1bp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</si>
</sst>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0.0000"/>
    <numFmt numFmtId="165" formatCode="_-* #,##0.0000\ _€_-;\-* #,##0.0000\ _€_-;_-* &quot;-&quot;??\ _€_-;_-@_-"/>
    <numFmt numFmtId="166" formatCode="0.0000%"/>
    <numFmt numFmtId="170" formatCode="0.00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10" fontId="0" fillId="0" borderId="0" xfId="2" applyNumberFormat="1" applyFont="1"/>
    <xf numFmtId="43" fontId="0" fillId="0" borderId="1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43" fontId="0" fillId="0" borderId="7" xfId="1" applyFont="1" applyBorder="1"/>
    <xf numFmtId="43" fontId="0" fillId="0" borderId="0" xfId="1" applyFont="1"/>
    <xf numFmtId="10" fontId="0" fillId="0" borderId="9" xfId="2" applyNumberFormat="1" applyFont="1" applyBorder="1"/>
    <xf numFmtId="10" fontId="0" fillId="0" borderId="9" xfId="0" applyNumberFormat="1" applyBorder="1"/>
    <xf numFmtId="0" fontId="0" fillId="0" borderId="8" xfId="0" applyBorder="1"/>
    <xf numFmtId="165" fontId="0" fillId="0" borderId="0" xfId="1" applyNumberFormat="1" applyFont="1"/>
    <xf numFmtId="166" fontId="0" fillId="0" borderId="0" xfId="2" applyNumberFormat="1" applyFont="1"/>
    <xf numFmtId="166" fontId="0" fillId="0" borderId="0" xfId="0" applyNumberFormat="1"/>
    <xf numFmtId="170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0.20320591439076402</c:v>
                </c:pt>
                <c:pt idx="2">
                  <c:v>0.1954816243344123</c:v>
                </c:pt>
                <c:pt idx="3">
                  <c:v>0.18775733427806054</c:v>
                </c:pt>
                <c:pt idx="4">
                  <c:v>0.18003304422170882</c:v>
                </c:pt>
                <c:pt idx="5">
                  <c:v>0.17182435612602626</c:v>
                </c:pt>
                <c:pt idx="6">
                  <c:v>0.16372604828581763</c:v>
                </c:pt>
                <c:pt idx="7">
                  <c:v>0.15585330654458404</c:v>
                </c:pt>
                <c:pt idx="8">
                  <c:v>0.14831915570974602</c:v>
                </c:pt>
                <c:pt idx="9">
                  <c:v>0.14123662058872397</c:v>
                </c:pt>
                <c:pt idx="10">
                  <c:v>0.13472847783614803</c:v>
                </c:pt>
                <c:pt idx="11">
                  <c:v>0.12898571376783763</c:v>
                </c:pt>
                <c:pt idx="12">
                  <c:v>0.12422843784178388</c:v>
                </c:pt>
                <c:pt idx="13">
                  <c:v>0.12067686855240028</c:v>
                </c:pt>
                <c:pt idx="14">
                  <c:v>0.11852525329217073</c:v>
                </c:pt>
                <c:pt idx="15">
                  <c:v>0.11774083868389845</c:v>
                </c:pt>
                <c:pt idx="16">
                  <c:v>0.11817358363242025</c:v>
                </c:pt>
                <c:pt idx="17">
                  <c:v>0.11967246552669876</c:v>
                </c:pt>
                <c:pt idx="18">
                  <c:v>0.12208499839470911</c:v>
                </c:pt>
                <c:pt idx="19">
                  <c:v>0.12524918522855905</c:v>
                </c:pt>
                <c:pt idx="20">
                  <c:v>0.12899922783670684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View!$D$2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View!$D$3:$D$23</c:f>
              <c:numCache>
                <c:formatCode>0.00%</c:formatCode>
                <c:ptCount val="21"/>
              </c:numCache>
            </c:numRef>
          </c:yVal>
          <c:smooth val="1"/>
        </c:ser>
        <c:axId val="46291200"/>
        <c:axId val="46424448"/>
      </c:scatterChart>
      <c:valAx>
        <c:axId val="46291200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46424448"/>
        <c:crosses val="autoZero"/>
        <c:crossBetween val="midCat"/>
      </c:valAx>
      <c:valAx>
        <c:axId val="46424448"/>
        <c:scaling>
          <c:orientation val="minMax"/>
          <c:max val="0.25"/>
          <c:min val="8.0000000000000043E-2"/>
        </c:scaling>
        <c:axPos val="l"/>
        <c:majorGridlines/>
        <c:numFmt formatCode="0.00%" sourceLinked="1"/>
        <c:tickLblPos val="nextTo"/>
        <c:crossAx val="462912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View!$C$2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View!$B$3:$B$23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View!$C$3:$C$23</c:f>
              <c:numCache>
                <c:formatCode>0.00%</c:formatCode>
                <c:ptCount val="21"/>
                <c:pt idx="0">
                  <c:v>0.2109302044471158</c:v>
                </c:pt>
                <c:pt idx="1">
                  <c:v>0.20320591439076402</c:v>
                </c:pt>
                <c:pt idx="2">
                  <c:v>0.1954816243344123</c:v>
                </c:pt>
                <c:pt idx="3">
                  <c:v>0.18775733427806054</c:v>
                </c:pt>
                <c:pt idx="4">
                  <c:v>0.18003304422170882</c:v>
                </c:pt>
                <c:pt idx="5">
                  <c:v>0.17182435612602626</c:v>
                </c:pt>
                <c:pt idx="6">
                  <c:v>0.16372604828581763</c:v>
                </c:pt>
                <c:pt idx="7">
                  <c:v>0.15585330654458404</c:v>
                </c:pt>
                <c:pt idx="8">
                  <c:v>0.14831915570974602</c:v>
                </c:pt>
                <c:pt idx="9">
                  <c:v>0.14123662058872397</c:v>
                </c:pt>
                <c:pt idx="10">
                  <c:v>0.13472847783614803</c:v>
                </c:pt>
                <c:pt idx="11">
                  <c:v>0.12898571376783763</c:v>
                </c:pt>
                <c:pt idx="12">
                  <c:v>0.12422843784178388</c:v>
                </c:pt>
                <c:pt idx="13">
                  <c:v>0.12067686855240028</c:v>
                </c:pt>
                <c:pt idx="14">
                  <c:v>0.11852525329217073</c:v>
                </c:pt>
                <c:pt idx="15">
                  <c:v>0.11774083868389845</c:v>
                </c:pt>
                <c:pt idx="16">
                  <c:v>0.11817358363242025</c:v>
                </c:pt>
                <c:pt idx="17">
                  <c:v>0.11967246552669876</c:v>
                </c:pt>
                <c:pt idx="18">
                  <c:v>0.12208499839470911</c:v>
                </c:pt>
                <c:pt idx="19">
                  <c:v>0.12524918522855905</c:v>
                </c:pt>
                <c:pt idx="20">
                  <c:v>0.12899922783670684</c:v>
                </c:pt>
              </c:numCache>
            </c:numRef>
          </c:yVal>
          <c:smooth val="1"/>
        </c:ser>
        <c:axId val="47651456"/>
        <c:axId val="47682304"/>
      </c:scatterChart>
      <c:valAx>
        <c:axId val="47651456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47682304"/>
        <c:crosses val="autoZero"/>
        <c:crossBetween val="midCat"/>
      </c:valAx>
      <c:valAx>
        <c:axId val="47682304"/>
        <c:scaling>
          <c:orientation val="minMax"/>
          <c:max val="0.25"/>
          <c:min val="0.1"/>
        </c:scaling>
        <c:axPos val="l"/>
        <c:majorGridlines/>
        <c:numFmt formatCode="0.00%" sourceLinked="1"/>
        <c:tickLblPos val="nextTo"/>
        <c:crossAx val="47651456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</a:t>
            </a:r>
          </a:p>
        </c:rich>
      </c:tx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yVal>
            <c:numRef>
              <c:f>Digit!$B$2:$B$23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1.03</c:v>
                </c:pt>
                <c:pt idx="3">
                  <c:v>1.06</c:v>
                </c:pt>
                <c:pt idx="4">
                  <c:v>1.0900000000000001</c:v>
                </c:pt>
                <c:pt idx="5">
                  <c:v>1.1200000000000001</c:v>
                </c:pt>
                <c:pt idx="6">
                  <c:v>1.1500000000000001</c:v>
                </c:pt>
                <c:pt idx="7">
                  <c:v>1.1800000000000002</c:v>
                </c:pt>
                <c:pt idx="8">
                  <c:v>1.2100000000000002</c:v>
                </c:pt>
                <c:pt idx="9">
                  <c:v>1.2400000000000002</c:v>
                </c:pt>
                <c:pt idx="10">
                  <c:v>1.2700000000000002</c:v>
                </c:pt>
                <c:pt idx="11">
                  <c:v>1.3000000000000003</c:v>
                </c:pt>
                <c:pt idx="12">
                  <c:v>1.3300000000000003</c:v>
                </c:pt>
                <c:pt idx="13">
                  <c:v>1.3600000000000003</c:v>
                </c:pt>
                <c:pt idx="14">
                  <c:v>1.3900000000000003</c:v>
                </c:pt>
                <c:pt idx="15">
                  <c:v>1.4200000000000004</c:v>
                </c:pt>
                <c:pt idx="16">
                  <c:v>1.4500000000000004</c:v>
                </c:pt>
                <c:pt idx="17">
                  <c:v>1.4800000000000004</c:v>
                </c:pt>
                <c:pt idx="18">
                  <c:v>1.5100000000000005</c:v>
                </c:pt>
                <c:pt idx="19">
                  <c:v>1.5400000000000005</c:v>
                </c:pt>
                <c:pt idx="20">
                  <c:v>1.5700000000000005</c:v>
                </c:pt>
                <c:pt idx="21">
                  <c:v>1.6000000000000005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yVal>
            <c:numRef>
              <c:f>Digit!$C$2:$C$23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0.2109302044471158</c:v>
                </c:pt>
                <c:pt idx="2">
                  <c:v>0.20320591439076402</c:v>
                </c:pt>
                <c:pt idx="3">
                  <c:v>0.1954816243344123</c:v>
                </c:pt>
                <c:pt idx="4">
                  <c:v>0.18775733427806054</c:v>
                </c:pt>
                <c:pt idx="5">
                  <c:v>0.18003304422170882</c:v>
                </c:pt>
                <c:pt idx="6">
                  <c:v>0.17182435612602626</c:v>
                </c:pt>
                <c:pt idx="7">
                  <c:v>0.16372604828581763</c:v>
                </c:pt>
                <c:pt idx="8">
                  <c:v>0.15585330654458404</c:v>
                </c:pt>
                <c:pt idx="9">
                  <c:v>0.14831915570974602</c:v>
                </c:pt>
                <c:pt idx="10">
                  <c:v>0.14123662058872397</c:v>
                </c:pt>
                <c:pt idx="11">
                  <c:v>0.13472847783614803</c:v>
                </c:pt>
                <c:pt idx="12">
                  <c:v>0.12898571376783763</c:v>
                </c:pt>
                <c:pt idx="13">
                  <c:v>0.12422843784178388</c:v>
                </c:pt>
                <c:pt idx="14">
                  <c:v>0.12067686855240028</c:v>
                </c:pt>
                <c:pt idx="15">
                  <c:v>0.11852525329217073</c:v>
                </c:pt>
                <c:pt idx="16">
                  <c:v>0.11774083868389845</c:v>
                </c:pt>
                <c:pt idx="17">
                  <c:v>0.11817358363242025</c:v>
                </c:pt>
                <c:pt idx="18">
                  <c:v>0.11967246552669876</c:v>
                </c:pt>
                <c:pt idx="19">
                  <c:v>0.12208499839470911</c:v>
                </c:pt>
                <c:pt idx="20">
                  <c:v>0.12524918522855905</c:v>
                </c:pt>
                <c:pt idx="21">
                  <c:v>0.12899922783670684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yVal>
            <c:numRef>
              <c:f>Digit!$D$2:$D$23</c:f>
              <c:numCache>
                <c:formatCode>0.00%</c:formatCode>
                <c:ptCount val="22"/>
                <c:pt idx="0" formatCode="General">
                  <c:v>0</c:v>
                </c:pt>
                <c:pt idx="1">
                  <c:v>0.2109044568135946</c:v>
                </c:pt>
                <c:pt idx="2">
                  <c:v>0.20318016675724287</c:v>
                </c:pt>
                <c:pt idx="3">
                  <c:v>0.19545587670089112</c:v>
                </c:pt>
                <c:pt idx="4">
                  <c:v>0.18773158664453937</c:v>
                </c:pt>
                <c:pt idx="5">
                  <c:v>0.18000729658818765</c:v>
                </c:pt>
                <c:pt idx="6">
                  <c:v>0.17179711203210704</c:v>
                </c:pt>
                <c:pt idx="7">
                  <c:v>0.16369936833213156</c:v>
                </c:pt>
                <c:pt idx="8">
                  <c:v>0.1558275674804892</c:v>
                </c:pt>
                <c:pt idx="9">
                  <c:v>0.14829473428460041</c:v>
                </c:pt>
                <c:pt idx="10">
                  <c:v>0.14121389355188574</c:v>
                </c:pt>
                <c:pt idx="11">
                  <c:v>0.13470794174909001</c:v>
                </c:pt>
                <c:pt idx="12">
                  <c:v>0.12896809683386584</c:v>
                </c:pt>
                <c:pt idx="13">
                  <c:v>0.12421447412254638</c:v>
                </c:pt>
                <c:pt idx="14">
                  <c:v>0.12066729210954513</c:v>
                </c:pt>
                <c:pt idx="15">
                  <c:v>0.11852044977472714</c:v>
                </c:pt>
                <c:pt idx="16">
                  <c:v>0.11774034323031474</c:v>
                </c:pt>
                <c:pt idx="17">
                  <c:v>0.11817689283399295</c:v>
                </c:pt>
                <c:pt idx="18">
                  <c:v>0.11967907597472442</c:v>
                </c:pt>
                <c:pt idx="19">
                  <c:v>0.12209438920143595</c:v>
                </c:pt>
                <c:pt idx="20">
                  <c:v>0.12526080431368461</c:v>
                </c:pt>
                <c:pt idx="21">
                  <c:v>0.12901252250628248</c:v>
                </c:pt>
              </c:numCache>
            </c:numRef>
          </c:yVal>
          <c:smooth val="1"/>
        </c:ser>
        <c:axId val="50023808"/>
        <c:axId val="50357760"/>
      </c:scatterChart>
      <c:valAx>
        <c:axId val="50023808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50357760"/>
        <c:crosses val="autoZero"/>
        <c:crossBetween val="midCat"/>
      </c:valAx>
      <c:valAx>
        <c:axId val="50357760"/>
        <c:scaling>
          <c:orientation val="minMax"/>
          <c:max val="0.25"/>
          <c:min val="8.0000000000000043E-2"/>
        </c:scaling>
        <c:axPos val="l"/>
        <c:majorGridlines/>
        <c:numFmt formatCode="General" sourceLinked="1"/>
        <c:tickLblPos val="nextTo"/>
        <c:crossAx val="50023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Digit!$C$2</c:f>
              <c:strCache>
                <c:ptCount val="1"/>
                <c:pt idx="0">
                  <c:v>Vols</c:v>
                </c:pt>
              </c:strCache>
            </c:strRef>
          </c:tx>
          <c:marker>
            <c:symbol val="none"/>
          </c:marker>
          <c:xVal>
            <c:numRef>
              <c:f>Digit!$B$3:$B$23</c:f>
              <c:numCache>
                <c:formatCode>General</c:formatCode>
                <c:ptCount val="21"/>
                <c:pt idx="0">
                  <c:v>1</c:v>
                </c:pt>
                <c:pt idx="1">
                  <c:v>1.03</c:v>
                </c:pt>
                <c:pt idx="2">
                  <c:v>1.06</c:v>
                </c:pt>
                <c:pt idx="3">
                  <c:v>1.0900000000000001</c:v>
                </c:pt>
                <c:pt idx="4">
                  <c:v>1.1200000000000001</c:v>
                </c:pt>
                <c:pt idx="5">
                  <c:v>1.1500000000000001</c:v>
                </c:pt>
                <c:pt idx="6">
                  <c:v>1.1800000000000002</c:v>
                </c:pt>
                <c:pt idx="7">
                  <c:v>1.2100000000000002</c:v>
                </c:pt>
                <c:pt idx="8">
                  <c:v>1.2400000000000002</c:v>
                </c:pt>
                <c:pt idx="9">
                  <c:v>1.2700000000000002</c:v>
                </c:pt>
                <c:pt idx="10">
                  <c:v>1.3000000000000003</c:v>
                </c:pt>
                <c:pt idx="11">
                  <c:v>1.3300000000000003</c:v>
                </c:pt>
                <c:pt idx="12">
                  <c:v>1.3600000000000003</c:v>
                </c:pt>
                <c:pt idx="13">
                  <c:v>1.3900000000000003</c:v>
                </c:pt>
                <c:pt idx="14">
                  <c:v>1.4200000000000004</c:v>
                </c:pt>
                <c:pt idx="15">
                  <c:v>1.4500000000000004</c:v>
                </c:pt>
                <c:pt idx="16">
                  <c:v>1.4800000000000004</c:v>
                </c:pt>
                <c:pt idx="17">
                  <c:v>1.5100000000000005</c:v>
                </c:pt>
                <c:pt idx="18">
                  <c:v>1.5400000000000005</c:v>
                </c:pt>
                <c:pt idx="19">
                  <c:v>1.5700000000000005</c:v>
                </c:pt>
                <c:pt idx="20">
                  <c:v>1.6000000000000005</c:v>
                </c:pt>
              </c:numCache>
            </c:numRef>
          </c:xVal>
          <c:yVal>
            <c:numRef>
              <c:f>Digit!$E$3:$E$23</c:f>
              <c:numCache>
                <c:formatCode>0.00%</c:formatCode>
                <c:ptCount val="21"/>
                <c:pt idx="0">
                  <c:v>3.7767761781223888E-2</c:v>
                </c:pt>
                <c:pt idx="1">
                  <c:v>4.436291159635506E-2</c:v>
                </c:pt>
                <c:pt idx="2">
                  <c:v>5.2183634606522533E-2</c:v>
                </c:pt>
                <c:pt idx="3">
                  <c:v>6.150941372569569E-2</c:v>
                </c:pt>
                <c:pt idx="4">
                  <c:v>7.2694030385690417E-2</c:v>
                </c:pt>
                <c:pt idx="5">
                  <c:v>8.1502182824771188E-2</c:v>
                </c:pt>
                <c:pt idx="6">
                  <c:v>9.8584749780936315E-2</c:v>
                </c:pt>
                <c:pt idx="7">
                  <c:v>0.12121643919288883</c:v>
                </c:pt>
                <c:pt idx="8">
                  <c:v>0.15105210141788761</c:v>
                </c:pt>
                <c:pt idx="9">
                  <c:v>0.18995036473352161</c:v>
                </c:pt>
                <c:pt idx="10">
                  <c:v>0.24032131289286093</c:v>
                </c:pt>
                <c:pt idx="11">
                  <c:v>0.30489902866944335</c:v>
                </c:pt>
                <c:pt idx="12">
                  <c:v>0.38409247228104448</c:v>
                </c:pt>
                <c:pt idx="13">
                  <c:v>0.47569993872841176</c:v>
                </c:pt>
                <c:pt idx="14">
                  <c:v>0.57251150164209119</c:v>
                </c:pt>
                <c:pt idx="15">
                  <c:v>0.66300149842098677</c:v>
                </c:pt>
                <c:pt idx="16">
                  <c:v>0.74159159536003794</c:v>
                </c:pt>
                <c:pt idx="17">
                  <c:v>0.8057144119034173</c:v>
                </c:pt>
                <c:pt idx="18">
                  <c:v>0.85537747889142224</c:v>
                </c:pt>
                <c:pt idx="19">
                  <c:v>0.89228074297234306</c:v>
                </c:pt>
                <c:pt idx="20">
                  <c:v>0.91893221599495556</c:v>
                </c:pt>
              </c:numCache>
            </c:numRef>
          </c:yVal>
          <c:smooth val="1"/>
        </c:ser>
        <c:axId val="52243072"/>
        <c:axId val="64244352"/>
      </c:scatterChart>
      <c:valAx>
        <c:axId val="52243072"/>
        <c:scaling>
          <c:orientation val="minMax"/>
          <c:max val="2.1"/>
          <c:min val="0.9"/>
        </c:scaling>
        <c:axPos val="b"/>
        <c:numFmt formatCode="General" sourceLinked="1"/>
        <c:tickLblPos val="nextTo"/>
        <c:crossAx val="64244352"/>
        <c:crosses val="autoZero"/>
        <c:crossBetween val="midCat"/>
      </c:valAx>
      <c:valAx>
        <c:axId val="64244352"/>
        <c:scaling>
          <c:orientation val="minMax"/>
        </c:scaling>
        <c:axPos val="l"/>
        <c:majorGridlines/>
        <c:numFmt formatCode="0.00%" sourceLinked="1"/>
        <c:tickLblPos val="nextTo"/>
        <c:crossAx val="52243072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1</xdr:row>
      <xdr:rowOff>99060</xdr:rowOff>
    </xdr:from>
    <xdr:to>
      <xdr:col>8</xdr:col>
      <xdr:colOff>342900</xdr:colOff>
      <xdr:row>13</xdr:row>
      <xdr:rowOff>49530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53340</xdr:colOff>
      <xdr:row>1</xdr:row>
      <xdr:rowOff>87630</xdr:rowOff>
    </xdr:from>
    <xdr:to>
      <xdr:col>41</xdr:col>
      <xdr:colOff>666750</xdr:colOff>
      <xdr:row>14</xdr:row>
      <xdr:rowOff>152400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739140</xdr:colOff>
      <xdr:row>2</xdr:row>
      <xdr:rowOff>11430</xdr:rowOff>
    </xdr:from>
    <xdr:to>
      <xdr:col>10</xdr:col>
      <xdr:colOff>723900</xdr:colOff>
      <xdr:row>13</xdr:row>
      <xdr:rowOff>144780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I14"/>
  <sheetViews>
    <sheetView topLeftCell="E4" zoomScale="200" zoomScaleNormal="200" workbookViewId="0">
      <selection activeCell="I8" sqref="I8:I11"/>
    </sheetView>
  </sheetViews>
  <sheetFormatPr baseColWidth="10" defaultRowHeight="14.4"/>
  <cols>
    <col min="3" max="3" width="6.5546875" bestFit="1" customWidth="1"/>
    <col min="4" max="4" width="7.109375" bestFit="1" customWidth="1"/>
    <col min="5" max="5" width="7.5546875" bestFit="1" customWidth="1"/>
  </cols>
  <sheetData>
    <row r="2" spans="1:9">
      <c r="B2" s="2" t="s">
        <v>12</v>
      </c>
      <c r="C2" s="4">
        <f>I2*I13/I14</f>
        <v>1.3875117942185744</v>
      </c>
      <c r="H2" s="2" t="s">
        <v>0</v>
      </c>
      <c r="I2">
        <v>1.3889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1.1201283388692078</v>
      </c>
      <c r="E4" s="5">
        <f>BSDelta($C$2,D4,$I$6,C4,-1)*$I$13</f>
        <v>-0.10000000000000023</v>
      </c>
      <c r="F4">
        <f>$C$2*EXP(NORMSINV(-A4/$I$13)*C4*SQRT($I$6)+0.5*C4*C4*$I$6)</f>
        <v>1.1201283388692078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1.2754824220594463</v>
      </c>
      <c r="E5" s="5">
        <f>BSDelta($C$2,D5,$I$6,C5,-1)*I13</f>
        <v>-0.25000000000000011</v>
      </c>
      <c r="F5">
        <f>$C$2*EXP(NORMSINV(-A5/$I$13)*C5*SQRT($I$6)+0.5*C5*C5*$I$6)</f>
        <v>1.2754824220594463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1.3975379299125779</v>
      </c>
      <c r="E6" s="5">
        <f>(BSDelta($C$2,D6,$I$6,C6,-1)+BSDelta($C$2,D6,$I$6,C6,1))*I13</f>
        <v>-4.4231640099212276E-16</v>
      </c>
      <c r="F6">
        <f>C2*EXP(0.5*I7*I7*I6)</f>
        <v>1.3975379299125779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1.5147840053474282</v>
      </c>
      <c r="E7" s="5">
        <f>BSDelta($C$2,D7,$I$6,C7,1)*I13</f>
        <v>0.24999999999999978</v>
      </c>
      <c r="F7">
        <f>$C$2*EXP(-NORMSINV(A7/$I$13)*C7*SQRT($I$6)+0.5*C7*C7*$I$6)</f>
        <v>1.5147840053474282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1.6760000341481525</v>
      </c>
      <c r="E8" s="5">
        <f>BSDelta($C$2,D8,$I$6,C8,1)*I13</f>
        <v>0.1</v>
      </c>
      <c r="F8">
        <f>$C$2*EXP(-NORMSINV(A8/$I$13)*C8*SQRT($I$6)+0.5*C8*C8*$I$6)</f>
        <v>1.6760000341481525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J14"/>
  <sheetViews>
    <sheetView topLeftCell="C3" zoomScale="200" zoomScaleNormal="200" workbookViewId="0">
      <selection activeCell="E10" sqref="E10"/>
    </sheetView>
  </sheetViews>
  <sheetFormatPr baseColWidth="10" defaultRowHeight="14.4"/>
  <cols>
    <col min="5" max="5" width="9.21875" bestFit="1" customWidth="1"/>
    <col min="6" max="7" width="8.6640625" bestFit="1" customWidth="1"/>
    <col min="8" max="9" width="8.21875" bestFit="1" customWidth="1"/>
    <col min="10" max="10" width="7.21875" bestFit="1" customWidth="1"/>
  </cols>
  <sheetData>
    <row r="2" spans="1:10" ht="1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FX'!D4</f>
        <v>1.1201283388692078</v>
      </c>
      <c r="B3" s="1">
        <f>'Smile FX'!C4</f>
        <v>0.18</v>
      </c>
      <c r="C3" s="4">
        <f t="shared" ref="C3:D6" si="0">(A4-A3)</f>
        <v>0.15535408319023847</v>
      </c>
      <c r="D3" s="4">
        <f t="shared" si="0"/>
        <v>-3.999999999999998E-2</v>
      </c>
      <c r="E3" s="6">
        <f>2/C3</f>
        <v>12.873816760586234</v>
      </c>
      <c r="F3" s="7">
        <f>1/C3</f>
        <v>6.4369083802931168</v>
      </c>
      <c r="G3" s="7">
        <v>0</v>
      </c>
      <c r="H3" s="7">
        <v>0</v>
      </c>
      <c r="I3" s="7">
        <v>0</v>
      </c>
      <c r="J3" s="12">
        <f>3*D3/C3/C3</f>
        <v>-4.9720547395545278</v>
      </c>
    </row>
    <row r="4" spans="1:10">
      <c r="A4" s="4">
        <f>'Smile FX'!D5</f>
        <v>1.2754824220594463</v>
      </c>
      <c r="B4" s="1">
        <f>'Smile FX'!C5</f>
        <v>0.14000000000000001</v>
      </c>
      <c r="C4" s="4">
        <f t="shared" si="0"/>
        <v>0.12205550785313157</v>
      </c>
      <c r="D4" s="4">
        <f t="shared" si="0"/>
        <v>-2.0000000000000018E-2</v>
      </c>
      <c r="E4" s="8">
        <f>1/C3</f>
        <v>6.4369083802931168</v>
      </c>
      <c r="F4" s="9">
        <f>2*(1/C3+1/C4)</f>
        <v>29.259804047670272</v>
      </c>
      <c r="G4" s="9">
        <f>1/C4</f>
        <v>8.1929936435420192</v>
      </c>
      <c r="H4" s="9">
        <v>0</v>
      </c>
      <c r="I4" s="9">
        <v>0</v>
      </c>
      <c r="J4" s="13">
        <f>3*(D3/C3/C3+D4/C4/C4)</f>
        <v>-8.9995634301417269</v>
      </c>
    </row>
    <row r="5" spans="1:10">
      <c r="A5" s="4">
        <f>'Smile FX'!D6</f>
        <v>1.3975379299125779</v>
      </c>
      <c r="B5" s="1">
        <f>'Smile FX'!C6</f>
        <v>0.12</v>
      </c>
      <c r="C5" s="4">
        <f t="shared" si="0"/>
        <v>0.11724607543485033</v>
      </c>
      <c r="D5" s="4">
        <f t="shared" si="0"/>
        <v>1.3877787807814457E-17</v>
      </c>
      <c r="E5" s="8">
        <v>0</v>
      </c>
      <c r="F5" s="9">
        <f>1/C4</f>
        <v>8.1929936435420192</v>
      </c>
      <c r="G5" s="9">
        <f>2*(1/C4+1/C5)</f>
        <v>33.444127549623843</v>
      </c>
      <c r="H5" s="9">
        <f>1/C5</f>
        <v>8.5290701312699042</v>
      </c>
      <c r="I5" s="9">
        <v>0</v>
      </c>
      <c r="J5" s="13">
        <f>3*(D4/C4/C4+D5/C5/C5)</f>
        <v>-4.0275086905871955</v>
      </c>
    </row>
    <row r="6" spans="1:10">
      <c r="A6" s="4">
        <f>'Smile FX'!D7</f>
        <v>1.5147840053474282</v>
      </c>
      <c r="B6" s="1">
        <f>'Smile FX'!C7</f>
        <v>0.12000000000000001</v>
      </c>
      <c r="C6" s="4">
        <f t="shared" si="0"/>
        <v>0.16121602880072428</v>
      </c>
      <c r="D6" s="4">
        <f t="shared" si="0"/>
        <v>2.0000000000000004E-2</v>
      </c>
      <c r="E6" s="8">
        <v>0</v>
      </c>
      <c r="F6" s="9">
        <v>0</v>
      </c>
      <c r="G6" s="9">
        <f>1/C5</f>
        <v>8.5290701312699042</v>
      </c>
      <c r="H6" s="9">
        <f>2*(1/C5+1/C6)</f>
        <v>29.463854600486677</v>
      </c>
      <c r="I6" s="9">
        <f>1/C6</f>
        <v>6.2028571689734333</v>
      </c>
      <c r="J6" s="13">
        <f>3*(D5/C5/C5+D6/C6/C6)</f>
        <v>2.3085262235211101</v>
      </c>
    </row>
    <row r="7" spans="1:10" ht="15" thickBot="1">
      <c r="A7" s="4">
        <f>'Smile FX'!D8</f>
        <v>1.6760000341481525</v>
      </c>
      <c r="B7" s="1">
        <f>'Smile FX'!C8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6.2028571689734333</v>
      </c>
      <c r="I7" s="11">
        <f>2/C6</f>
        <v>12.405714337946867</v>
      </c>
      <c r="J7" s="17">
        <f>3*D6/C6/C6</f>
        <v>2.308526223521107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15">
        <f t="array" ref="E10:E14">MMULT(MINVERSE(E3:I7),J3:J7)</f>
        <v>-0.27431486253216597</v>
      </c>
      <c r="F10" s="16">
        <f>E10*C3-D3</f>
        <v>-2.6159339741409632E-3</v>
      </c>
      <c r="G10" s="16">
        <f>-E11*C3+D3</f>
        <v>-5.2318679482819472E-3</v>
      </c>
    </row>
    <row r="11" spans="1:10">
      <c r="E11" s="15">
        <v>-0.2237992805708415</v>
      </c>
      <c r="F11" s="16">
        <f>E11*C4-D4</f>
        <v>-7.3159348472395247E-3</v>
      </c>
      <c r="G11" s="16">
        <f>-E12*C4+D4</f>
        <v>-9.7877211474303484E-3</v>
      </c>
    </row>
    <row r="12" spans="1:10">
      <c r="E12" s="15">
        <v>-8.3669135725181892E-2</v>
      </c>
      <c r="F12" s="16">
        <f>E12*C5-D5</f>
        <v>-9.8098777988034208E-3</v>
      </c>
      <c r="G12" s="16">
        <f>-E13*C5+D5</f>
        <v>-8.3073521179502802E-3</v>
      </c>
    </row>
    <row r="13" spans="1:10">
      <c r="E13" s="15">
        <v>7.0853988819151628E-2</v>
      </c>
      <c r="F13" s="16">
        <f>E13*C6-D6</f>
        <v>-8.5772012978854589E-3</v>
      </c>
      <c r="G13" s="16">
        <f>-E14*C6+D6</f>
        <v>-4.288600648942726E-3</v>
      </c>
    </row>
    <row r="14" spans="1:10">
      <c r="E14" s="15">
        <v>0.15065872065962718</v>
      </c>
      <c r="F14" s="16"/>
      <c r="G14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4"/>
  <dimension ref="A2:I14"/>
  <sheetViews>
    <sheetView topLeftCell="G5" zoomScale="200" zoomScaleNormal="200" workbookViewId="0">
      <selection activeCell="I8" sqref="I8:I11"/>
    </sheetView>
  </sheetViews>
  <sheetFormatPr baseColWidth="10" defaultRowHeight="14.4"/>
  <cols>
    <col min="3" max="3" width="6.5546875" bestFit="1" customWidth="1"/>
    <col min="4" max="4" width="7.109375" bestFit="1" customWidth="1"/>
    <col min="5" max="5" width="7.5546875" bestFit="1" customWidth="1"/>
  </cols>
  <sheetData>
    <row r="2" spans="1:9">
      <c r="B2" s="2" t="s">
        <v>12</v>
      </c>
      <c r="C2" s="4">
        <f>I2*I13/I14</f>
        <v>1.3876116942685579</v>
      </c>
      <c r="H2" s="2" t="s">
        <v>0</v>
      </c>
      <c r="I2">
        <v>1.389</v>
      </c>
    </row>
    <row r="3" spans="1:9">
      <c r="C3" s="2" t="s">
        <v>17</v>
      </c>
      <c r="D3" s="2" t="s">
        <v>18</v>
      </c>
      <c r="E3" s="2" t="s">
        <v>19</v>
      </c>
      <c r="H3" s="2" t="s">
        <v>1</v>
      </c>
      <c r="I3" s="3">
        <v>3.0000000000000001E-3</v>
      </c>
    </row>
    <row r="4" spans="1:9">
      <c r="A4">
        <v>-0.1</v>
      </c>
      <c r="B4" s="2" t="s">
        <v>13</v>
      </c>
      <c r="C4" s="1">
        <f>I7+I11-I9/2</f>
        <v>0.18</v>
      </c>
      <c r="D4">
        <f>F4</f>
        <v>1.1202089874644177</v>
      </c>
      <c r="E4" s="5">
        <f>BSDelta($C$2,D4,$I$6,C4,-1)*I13</f>
        <v>-9.9999999999999895E-2</v>
      </c>
      <c r="F4">
        <f>$C$2*EXP(NORMSINV(-A4/$I$13)*C4*SQRT($I$6)+0.5*C4*C4*$I$6)</f>
        <v>1.1202089874644177</v>
      </c>
      <c r="H4" s="2" t="s">
        <v>2</v>
      </c>
      <c r="I4" s="3">
        <v>5.0000000000000001E-3</v>
      </c>
    </row>
    <row r="5" spans="1:9">
      <c r="A5">
        <v>-0.25</v>
      </c>
      <c r="B5" s="2" t="s">
        <v>14</v>
      </c>
      <c r="C5" s="1">
        <f>I7+I10-I8/2</f>
        <v>0.14000000000000001</v>
      </c>
      <c r="D5">
        <f>F5</f>
        <v>1.2755742560591627</v>
      </c>
      <c r="E5" s="5">
        <f>BSDelta($C$2,D5,$I$6,C5,-1)*I13</f>
        <v>-0.25000000000000011</v>
      </c>
      <c r="F5">
        <f>$C$2*EXP(NORMSINV(-A5/$I$13)*C5*SQRT($I$6)+0.5*C5*C5*$I$6)</f>
        <v>1.2755742560591627</v>
      </c>
      <c r="H5" s="2" t="s">
        <v>3</v>
      </c>
      <c r="I5" s="3">
        <v>1E-3</v>
      </c>
    </row>
    <row r="6" spans="1:9">
      <c r="A6">
        <v>0</v>
      </c>
      <c r="B6" s="2" t="s">
        <v>6</v>
      </c>
      <c r="C6" s="1">
        <f>I7</f>
        <v>0.12</v>
      </c>
      <c r="D6">
        <f>F6</f>
        <v>1.3976385518385563</v>
      </c>
      <c r="E6" s="5">
        <f>(BSDelta($C$2,D6,$I$6,C6,-1)+BSDelta($C$2,D6,$I$6,C6,1))*I13</f>
        <v>-4.4231640099212276E-16</v>
      </c>
      <c r="F6">
        <f>C2*EXP(0.5*I7*I7*I6)</f>
        <v>1.3976385518385563</v>
      </c>
      <c r="H6" s="2" t="s">
        <v>4</v>
      </c>
      <c r="I6">
        <v>1</v>
      </c>
    </row>
    <row r="7" spans="1:9">
      <c r="A7">
        <v>0.25</v>
      </c>
      <c r="B7" s="2" t="s">
        <v>15</v>
      </c>
      <c r="C7" s="1">
        <f>I7+I10+I8/2</f>
        <v>0.12000000000000001</v>
      </c>
      <c r="D7">
        <f>F7</f>
        <v>1.5148930689233047</v>
      </c>
      <c r="E7" s="5">
        <f>BSDelta($C$2,D7,$I$6,C7,1)*I13</f>
        <v>0.25000000000000011</v>
      </c>
      <c r="F7">
        <f>$C$2*EXP(-NORMSINV(A7/$I$13)*C7*SQRT($I$6)+0.5*C7*C7*$I$6)</f>
        <v>1.5148930689233047</v>
      </c>
      <c r="H7" s="2" t="s">
        <v>6</v>
      </c>
      <c r="I7" s="1">
        <v>0.12</v>
      </c>
    </row>
    <row r="8" spans="1:9">
      <c r="A8">
        <v>0.1</v>
      </c>
      <c r="B8" s="2" t="s">
        <v>16</v>
      </c>
      <c r="C8" s="1">
        <f>I7+I11+I9/2</f>
        <v>0.14000000000000001</v>
      </c>
      <c r="D8">
        <f>F8</f>
        <v>1.6761207051852431</v>
      </c>
      <c r="E8" s="5">
        <f>BSDelta($C$2,D8,$I$6,C8,1)*I13</f>
        <v>9.9999999999999784E-2</v>
      </c>
      <c r="F8">
        <f>$C$2*EXP(-NORMSINV(A8/$I$13)*C8*SQRT($I$6)+0.5*C8*C8*$I$6)</f>
        <v>1.6761207051852431</v>
      </c>
      <c r="H8" s="2" t="s">
        <v>5</v>
      </c>
      <c r="I8" s="1">
        <v>-0.02</v>
      </c>
    </row>
    <row r="9" spans="1:9">
      <c r="H9" s="2" t="s">
        <v>7</v>
      </c>
      <c r="I9" s="1">
        <v>-0.04</v>
      </c>
    </row>
    <row r="10" spans="1:9">
      <c r="H10" s="2" t="s">
        <v>8</v>
      </c>
      <c r="I10" s="1">
        <v>0.01</v>
      </c>
    </row>
    <row r="11" spans="1:9">
      <c r="H11" s="2" t="s">
        <v>9</v>
      </c>
      <c r="I11" s="1">
        <v>0.04</v>
      </c>
    </row>
    <row r="12" spans="1:9">
      <c r="H12" s="2"/>
    </row>
    <row r="13" spans="1:9">
      <c r="H13" s="2" t="s">
        <v>10</v>
      </c>
      <c r="I13">
        <f>EXP(-(I4-I5)*I6)</f>
        <v>0.99600798934399148</v>
      </c>
    </row>
    <row r="14" spans="1:9">
      <c r="H14" s="2" t="s">
        <v>11</v>
      </c>
      <c r="I14">
        <f>EXP(-I3*I6)</f>
        <v>0.997004495503373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5"/>
  <dimension ref="A2:J14"/>
  <sheetViews>
    <sheetView zoomScale="200" zoomScaleNormal="200" workbookViewId="0">
      <selection activeCell="D7" sqref="D7"/>
    </sheetView>
  </sheetViews>
  <sheetFormatPr baseColWidth="10" defaultRowHeight="14.4"/>
  <cols>
    <col min="5" max="5" width="9.21875" bestFit="1" customWidth="1"/>
    <col min="6" max="7" width="8.6640625" bestFit="1" customWidth="1"/>
    <col min="8" max="9" width="8.21875" bestFit="1" customWidth="1"/>
    <col min="10" max="10" width="7.21875" bestFit="1" customWidth="1"/>
  </cols>
  <sheetData>
    <row r="2" spans="1:10" ht="15" thickBot="1">
      <c r="A2" s="2" t="s">
        <v>18</v>
      </c>
      <c r="B2" s="2" t="s">
        <v>20</v>
      </c>
      <c r="C2" s="2" t="s">
        <v>21</v>
      </c>
      <c r="D2" s="2" t="s">
        <v>22</v>
      </c>
      <c r="E2">
        <v>1</v>
      </c>
      <c r="F2">
        <v>2</v>
      </c>
      <c r="G2">
        <v>3</v>
      </c>
      <c r="H2">
        <v>4</v>
      </c>
      <c r="I2">
        <v>5</v>
      </c>
    </row>
    <row r="3" spans="1:10">
      <c r="A3" s="4">
        <f>'Smile FX + 1bp'!D4</f>
        <v>1.1202089874644177</v>
      </c>
      <c r="B3" s="1">
        <f>'Smile FX + 1bp'!C4</f>
        <v>0.18</v>
      </c>
      <c r="C3" s="4">
        <f t="shared" ref="C3:D6" si="0">(A4-A3)</f>
        <v>0.15536526859474509</v>
      </c>
      <c r="D3" s="4">
        <f t="shared" si="0"/>
        <v>-3.999999999999998E-2</v>
      </c>
      <c r="E3" s="6">
        <f>2/C3</f>
        <v>12.872889919926711</v>
      </c>
      <c r="F3" s="7">
        <f>1/C3</f>
        <v>6.4364449599633557</v>
      </c>
      <c r="G3" s="7">
        <v>0</v>
      </c>
      <c r="H3" s="7">
        <v>0</v>
      </c>
      <c r="I3" s="7">
        <v>0</v>
      </c>
      <c r="J3" s="12">
        <f>3*D3/C3/C3</f>
        <v>-4.9713388467165185</v>
      </c>
    </row>
    <row r="4" spans="1:10">
      <c r="A4" s="4">
        <f>'Smile FX + 1bp'!D5</f>
        <v>1.2755742560591627</v>
      </c>
      <c r="B4" s="1">
        <f>'Smile FX + 1bp'!C5</f>
        <v>0.14000000000000001</v>
      </c>
      <c r="C4" s="4">
        <f t="shared" si="0"/>
        <v>0.12206429577939359</v>
      </c>
      <c r="D4" s="4">
        <f t="shared" si="0"/>
        <v>-2.0000000000000018E-2</v>
      </c>
      <c r="E4" s="8">
        <f>1/C3</f>
        <v>6.4364449599633557</v>
      </c>
      <c r="F4" s="9">
        <f>2*(1/C3+1/C4)</f>
        <v>29.257697510301817</v>
      </c>
      <c r="G4" s="9">
        <f>1/C4</f>
        <v>8.1924037951875519</v>
      </c>
      <c r="H4" s="9">
        <v>0</v>
      </c>
      <c r="I4" s="9">
        <v>0</v>
      </c>
      <c r="J4" s="13">
        <f>3*(D3/C3/C3+D4/C4/C4)</f>
        <v>-8.9982676433207267</v>
      </c>
    </row>
    <row r="5" spans="1:10">
      <c r="A5" s="4">
        <f>'Smile FX + 1bp'!D6</f>
        <v>1.3976385518385563</v>
      </c>
      <c r="B5" s="1">
        <f>'Smile FX + 1bp'!C6</f>
        <v>0.12</v>
      </c>
      <c r="C5" s="4">
        <f t="shared" si="0"/>
        <v>0.11725451708474832</v>
      </c>
      <c r="D5" s="4">
        <f t="shared" si="0"/>
        <v>1.3877787807814457E-17</v>
      </c>
      <c r="E5" s="8">
        <v>0</v>
      </c>
      <c r="F5" s="9">
        <f>1/C4</f>
        <v>8.1924037951875519</v>
      </c>
      <c r="G5" s="9">
        <f>2*(1/C4+1/C5)</f>
        <v>33.441719765063056</v>
      </c>
      <c r="H5" s="9">
        <f>1/C5</f>
        <v>8.5284560873439759</v>
      </c>
      <c r="I5" s="9">
        <v>0</v>
      </c>
      <c r="J5" s="13">
        <f>3*(D4/C4/C4+D5/C5/C5)</f>
        <v>-4.0269287966042047</v>
      </c>
    </row>
    <row r="6" spans="1:10">
      <c r="A6" s="4">
        <f>'Smile FX + 1bp'!D7</f>
        <v>1.5148930689233047</v>
      </c>
      <c r="B6" s="1">
        <f>'Smile FX + 1bp'!C7</f>
        <v>0.12000000000000001</v>
      </c>
      <c r="C6" s="4">
        <f t="shared" si="0"/>
        <v>0.16122763626193848</v>
      </c>
      <c r="D6" s="4">
        <f t="shared" si="0"/>
        <v>2.0000000000000004E-2</v>
      </c>
      <c r="E6" s="8">
        <v>0</v>
      </c>
      <c r="F6" s="9">
        <v>0</v>
      </c>
      <c r="G6" s="9">
        <f>1/C5</f>
        <v>8.5284560873439759</v>
      </c>
      <c r="H6" s="9">
        <f>2*(1/C5+1/C6)</f>
        <v>29.461733372653665</v>
      </c>
      <c r="I6" s="9">
        <f>1/C6</f>
        <v>6.2024105989828566</v>
      </c>
      <c r="J6" s="13">
        <f>3*(D5/C5/C5+D6/C6/C6)</f>
        <v>2.3081938343024966</v>
      </c>
    </row>
    <row r="7" spans="1:10" ht="15" thickBot="1">
      <c r="A7" s="4">
        <f>'Smile FX + 1bp'!D8</f>
        <v>1.6761207051852431</v>
      </c>
      <c r="B7" s="1">
        <f>'Smile FX + 1bp'!C8</f>
        <v>0.14000000000000001</v>
      </c>
      <c r="C7" s="4"/>
      <c r="D7" s="1"/>
      <c r="E7" s="10">
        <v>0</v>
      </c>
      <c r="F7" s="11">
        <v>0</v>
      </c>
      <c r="G7" s="11">
        <v>0</v>
      </c>
      <c r="H7" s="11">
        <f>1/C6</f>
        <v>6.2024105989828566</v>
      </c>
      <c r="I7" s="11">
        <f>2/C6</f>
        <v>12.404821197965713</v>
      </c>
      <c r="J7" s="17">
        <f>3*D6/C6/C6</f>
        <v>2.308193834302493</v>
      </c>
    </row>
    <row r="9" spans="1:10">
      <c r="E9" s="2" t="s">
        <v>23</v>
      </c>
      <c r="F9" s="2" t="s">
        <v>24</v>
      </c>
      <c r="G9" s="2" t="s">
        <v>25</v>
      </c>
    </row>
    <row r="10" spans="1:10">
      <c r="E10" s="15">
        <f t="array" ref="E10:E14">MMULT(MINVERSE(E3:I7),J3:J7)</f>
        <v>-0.27429511344199053</v>
      </c>
      <c r="F10" s="16">
        <f>E10*C3-D3</f>
        <v>-2.6159339741409562E-3</v>
      </c>
      <c r="G10" s="16">
        <f>-E11*C3+D3</f>
        <v>-5.2318679482819264E-3</v>
      </c>
    </row>
    <row r="11" spans="1:10">
      <c r="E11" s="15">
        <v>-0.22378316831162104</v>
      </c>
      <c r="F11" s="16">
        <f>E11*C4-D4</f>
        <v>-7.3159348472395143E-3</v>
      </c>
      <c r="G11" s="16">
        <f>-E12*C4+D4</f>
        <v>-9.7877211474303484E-3</v>
      </c>
    </row>
    <row r="12" spans="1:10">
      <c r="E12" s="15">
        <v>-8.3663112029305348E-2</v>
      </c>
      <c r="F12" s="16">
        <f>E12*C5-D5</f>
        <v>-9.8098777988034104E-3</v>
      </c>
      <c r="G12" s="16">
        <f>-E13*C5+D5</f>
        <v>-8.3073521179502612E-3</v>
      </c>
    </row>
    <row r="13" spans="1:10">
      <c r="E13" s="15">
        <v>7.0848887740042887E-2</v>
      </c>
      <c r="F13" s="16">
        <f>E13*C6-D6</f>
        <v>-8.5772012978854572E-3</v>
      </c>
      <c r="G13" s="16">
        <f>-E14*C6+D6</f>
        <v>-4.288600648942726E-3</v>
      </c>
    </row>
    <row r="14" spans="1:10">
      <c r="E14" s="15">
        <v>0.15064787409946429</v>
      </c>
      <c r="F14" s="16"/>
      <c r="G14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3"/>
  <dimension ref="A1:U23"/>
  <sheetViews>
    <sheetView topLeftCell="D4" zoomScale="200" zoomScaleNormal="200" workbookViewId="0">
      <selection activeCell="H6" sqref="H6"/>
    </sheetView>
  </sheetViews>
  <sheetFormatPr baseColWidth="10" defaultRowHeight="14.4"/>
  <cols>
    <col min="12" max="12" width="8.77734375" customWidth="1"/>
    <col min="20" max="20" width="6.5546875" bestFit="1" customWidth="1"/>
  </cols>
  <sheetData>
    <row r="1" spans="1:21">
      <c r="B1">
        <f>(D1-C1)/20</f>
        <v>2.9999999999999992E-2</v>
      </c>
      <c r="C1">
        <v>1.1000000000000001</v>
      </c>
      <c r="D1">
        <v>1.7</v>
      </c>
    </row>
    <row r="2" spans="1:21">
      <c r="B2" t="s">
        <v>18</v>
      </c>
      <c r="C2" t="s">
        <v>20</v>
      </c>
    </row>
    <row r="3" spans="1:21">
      <c r="A3">
        <v>1</v>
      </c>
      <c r="B3">
        <v>1</v>
      </c>
      <c r="C3" s="5">
        <f t="shared" ref="C3:C23" si="0">Spline(B3,Ks,Vols,coeffa,coeffb)</f>
        <v>0.2109302044471158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3"/>
      <c r="U3" s="3"/>
    </row>
    <row r="4" spans="1:21">
      <c r="A4">
        <f>A3+1</f>
        <v>2</v>
      </c>
      <c r="B4">
        <f>B3+$B$1</f>
        <v>1.03</v>
      </c>
      <c r="C4" s="5">
        <f t="shared" si="0"/>
        <v>0.20320591439076402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3"/>
      <c r="U4" s="3"/>
    </row>
    <row r="5" spans="1:21">
      <c r="A5">
        <f t="shared" ref="A5:A23" si="1">A4+1</f>
        <v>3</v>
      </c>
      <c r="B5">
        <f t="shared" ref="B5:B23" si="2">B4+$B$1</f>
        <v>1.06</v>
      </c>
      <c r="C5" s="5">
        <f t="shared" si="0"/>
        <v>0.1954816243344123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14"/>
      <c r="T5" s="3"/>
      <c r="U5" s="3"/>
    </row>
    <row r="6" spans="1:21">
      <c r="A6">
        <f t="shared" si="1"/>
        <v>4</v>
      </c>
      <c r="B6">
        <f t="shared" si="2"/>
        <v>1.0900000000000001</v>
      </c>
      <c r="C6" s="5">
        <f t="shared" si="0"/>
        <v>0.18775733427806054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14"/>
      <c r="T6" s="3"/>
      <c r="U6" s="3"/>
    </row>
    <row r="7" spans="1:21">
      <c r="A7">
        <f t="shared" si="1"/>
        <v>5</v>
      </c>
      <c r="B7">
        <f t="shared" si="2"/>
        <v>1.1200000000000001</v>
      </c>
      <c r="C7" s="5">
        <f t="shared" si="0"/>
        <v>0.18003304422170882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4"/>
      <c r="T7" s="3"/>
      <c r="U7" s="3"/>
    </row>
    <row r="8" spans="1:21">
      <c r="A8">
        <f t="shared" si="1"/>
        <v>6</v>
      </c>
      <c r="B8">
        <f t="shared" si="2"/>
        <v>1.1500000000000001</v>
      </c>
      <c r="C8" s="5">
        <f t="shared" si="0"/>
        <v>0.17182435612602626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14"/>
      <c r="T8" s="3"/>
      <c r="U8" s="3"/>
    </row>
    <row r="9" spans="1:21">
      <c r="A9">
        <f t="shared" si="1"/>
        <v>7</v>
      </c>
      <c r="B9">
        <f t="shared" si="2"/>
        <v>1.1800000000000002</v>
      </c>
      <c r="C9" s="5">
        <f t="shared" si="0"/>
        <v>0.16372604828581763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14"/>
      <c r="T9" s="3"/>
      <c r="U9" s="3"/>
    </row>
    <row r="10" spans="1:21">
      <c r="A10">
        <f t="shared" si="1"/>
        <v>8</v>
      </c>
      <c r="B10">
        <f t="shared" si="2"/>
        <v>1.2100000000000002</v>
      </c>
      <c r="C10" s="5">
        <f t="shared" si="0"/>
        <v>0.15585330654458404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14"/>
      <c r="T10" s="3"/>
      <c r="U10" s="3"/>
    </row>
    <row r="11" spans="1:21">
      <c r="A11">
        <f t="shared" si="1"/>
        <v>9</v>
      </c>
      <c r="B11">
        <f t="shared" si="2"/>
        <v>1.2400000000000002</v>
      </c>
      <c r="C11" s="5">
        <f t="shared" si="0"/>
        <v>0.14831915570974602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14"/>
      <c r="T11" s="3"/>
      <c r="U11" s="3"/>
    </row>
    <row r="12" spans="1:21">
      <c r="A12">
        <f t="shared" si="1"/>
        <v>10</v>
      </c>
      <c r="B12">
        <f t="shared" si="2"/>
        <v>1.2700000000000002</v>
      </c>
      <c r="C12" s="5">
        <f t="shared" si="0"/>
        <v>0.14123662058872397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14"/>
      <c r="T12" s="3"/>
      <c r="U12" s="3"/>
    </row>
    <row r="13" spans="1:21">
      <c r="A13">
        <f t="shared" si="1"/>
        <v>11</v>
      </c>
      <c r="B13">
        <f t="shared" si="2"/>
        <v>1.3000000000000003</v>
      </c>
      <c r="C13" s="5">
        <f t="shared" si="0"/>
        <v>0.13472847783614803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14"/>
      <c r="T13" s="3"/>
      <c r="U13" s="3"/>
    </row>
    <row r="14" spans="1:21">
      <c r="A14">
        <f t="shared" si="1"/>
        <v>12</v>
      </c>
      <c r="B14">
        <f t="shared" si="2"/>
        <v>1.3300000000000003</v>
      </c>
      <c r="C14" s="5">
        <f t="shared" si="0"/>
        <v>0.12898571376783763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14"/>
      <c r="T14" s="3"/>
      <c r="U14" s="3"/>
    </row>
    <row r="15" spans="1:21">
      <c r="A15">
        <f t="shared" si="1"/>
        <v>13</v>
      </c>
      <c r="B15">
        <f t="shared" si="2"/>
        <v>1.3600000000000003</v>
      </c>
      <c r="C15" s="5">
        <f t="shared" si="0"/>
        <v>0.12422843784178388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14"/>
      <c r="T15" s="3"/>
      <c r="U15" s="3"/>
    </row>
    <row r="16" spans="1:21">
      <c r="A16">
        <f t="shared" si="1"/>
        <v>14</v>
      </c>
      <c r="B16">
        <f t="shared" si="2"/>
        <v>1.3900000000000003</v>
      </c>
      <c r="C16" s="5">
        <f t="shared" si="0"/>
        <v>0.12067686855240028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4"/>
      <c r="T16" s="3"/>
      <c r="U16" s="3"/>
    </row>
    <row r="17" spans="1:21">
      <c r="A17">
        <f t="shared" si="1"/>
        <v>15</v>
      </c>
      <c r="B17">
        <f t="shared" si="2"/>
        <v>1.4200000000000004</v>
      </c>
      <c r="C17" s="5">
        <f t="shared" si="0"/>
        <v>0.11852525329217073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4"/>
      <c r="T17" s="3"/>
      <c r="U17" s="3"/>
    </row>
    <row r="18" spans="1:21">
      <c r="A18">
        <f t="shared" si="1"/>
        <v>16</v>
      </c>
      <c r="B18">
        <f t="shared" si="2"/>
        <v>1.4500000000000004</v>
      </c>
      <c r="C18" s="5">
        <f t="shared" si="0"/>
        <v>0.11774083868389845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4"/>
      <c r="T18" s="3"/>
      <c r="U18" s="3"/>
    </row>
    <row r="19" spans="1:21">
      <c r="A19">
        <f t="shared" si="1"/>
        <v>17</v>
      </c>
      <c r="B19">
        <f t="shared" si="2"/>
        <v>1.4800000000000004</v>
      </c>
      <c r="C19" s="5">
        <f t="shared" si="0"/>
        <v>0.11817358363242025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4"/>
      <c r="T19" s="3"/>
      <c r="U19" s="3"/>
    </row>
    <row r="20" spans="1:21">
      <c r="A20">
        <f t="shared" si="1"/>
        <v>18</v>
      </c>
      <c r="B20">
        <f t="shared" si="2"/>
        <v>1.5100000000000005</v>
      </c>
      <c r="C20" s="5">
        <f t="shared" si="0"/>
        <v>0.11967246552669876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4"/>
      <c r="T20" s="3"/>
      <c r="U20" s="3"/>
    </row>
    <row r="21" spans="1:21">
      <c r="A21">
        <f t="shared" si="1"/>
        <v>19</v>
      </c>
      <c r="B21">
        <f t="shared" si="2"/>
        <v>1.5400000000000005</v>
      </c>
      <c r="C21" s="5">
        <f t="shared" si="0"/>
        <v>0.12208499839470911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4"/>
      <c r="T21" s="3"/>
      <c r="U21" s="3"/>
    </row>
    <row r="22" spans="1:21">
      <c r="A22">
        <f t="shared" si="1"/>
        <v>20</v>
      </c>
      <c r="B22">
        <f t="shared" si="2"/>
        <v>1.5700000000000005</v>
      </c>
      <c r="C22" s="5">
        <f t="shared" si="0"/>
        <v>0.12524918522855905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4"/>
      <c r="T22" s="3"/>
      <c r="U22" s="3"/>
    </row>
    <row r="23" spans="1:21">
      <c r="A23">
        <f t="shared" si="1"/>
        <v>21</v>
      </c>
      <c r="B23">
        <f t="shared" si="2"/>
        <v>1.6000000000000005</v>
      </c>
      <c r="C23" s="5">
        <f t="shared" si="0"/>
        <v>0.12899922783670684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4"/>
      <c r="T23" s="3"/>
      <c r="U23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2:J13"/>
  <sheetViews>
    <sheetView tabSelected="1" topLeftCell="G1" zoomScale="200" zoomScaleNormal="200" workbookViewId="0">
      <selection activeCell="J3" sqref="J3"/>
    </sheetView>
  </sheetViews>
  <sheetFormatPr baseColWidth="10" defaultRowHeight="14.4"/>
  <cols>
    <col min="8" max="8" width="12.88671875" bestFit="1" customWidth="1"/>
  </cols>
  <sheetData>
    <row r="2" spans="2:10">
      <c r="D2" s="21">
        <f>D3-C3</f>
        <v>2.0763609766660807E-5</v>
      </c>
      <c r="G2" t="s">
        <v>19</v>
      </c>
    </row>
    <row r="3" spans="2:10">
      <c r="B3" s="18">
        <f>'Smile FX'!D4</f>
        <v>1.1201283388692078</v>
      </c>
      <c r="C3" s="5">
        <f>Spline($B3,Ks,Vols,coeffa,coeffb)</f>
        <v>0.18</v>
      </c>
      <c r="D3" s="5">
        <f>Spline($B3,'Spline + 1bp'!Ks,'Spline + 1bp'!Vols,'Spline + 1bp'!coeffa,'Spline + 1bp'!coeffb)</f>
        <v>0.18002076360976665</v>
      </c>
      <c r="E3" s="19">
        <f>BS('Smile FX'!$C$2,B3,'Smile FX'!$I$6,C3,-1)*'Smile FX'!$I$14</f>
        <v>1.2795596060022493E-2</v>
      </c>
      <c r="F3" s="19">
        <f>BS('Smile FX + 1bp'!$C$2,B3,'Smile FX + 1bp'!$I$6,D3,-1)*'Smile FX + 1bp'!$I$14</f>
        <v>1.2790653411587046E-2</v>
      </c>
      <c r="G3" s="5">
        <f>(F3-E3)*10000</f>
        <v>-4.9426484354467976E-2</v>
      </c>
      <c r="H3">
        <f>BSDelta('Smile FX'!$C$2,B3,'Smile FX'!$I$6,C3,-1)*'Smile FX'!$I$13</f>
        <v>-0.10000000000000023</v>
      </c>
      <c r="I3" s="5">
        <f>BSVega('Smile FX'!$C$2,B3,'Smile FX'!$I$6,C3,-1)*'Smile FX'!$I$13</f>
        <v>0.24324314150390719</v>
      </c>
      <c r="J3" s="5">
        <f>H3+I3*(D3-C3)*10000</f>
        <v>-4.9493943313962389E-2</v>
      </c>
    </row>
    <row r="4" spans="2:10">
      <c r="B4" s="18">
        <f>'Smile FX'!D5</f>
        <v>1.2754824220594463</v>
      </c>
      <c r="C4" s="5">
        <f t="shared" ref="C4:C7" si="0">Spline(B4,Ks,Vols,coeffa,coeffb)</f>
        <v>0.14000000000000001</v>
      </c>
      <c r="D4" s="5">
        <f>Spline($B4,'Spline + 1bp'!Ks,'Spline + 1bp'!Vols,'Spline + 1bp'!coeffa,'Spline + 1bp'!coeffb)</f>
        <v>0.14002055364474694</v>
      </c>
      <c r="E4" s="19">
        <f>BS('Smile FX'!$C$2,B4,'Smile FX'!$I$6,C4,-1)*'Smile FX'!$I$14</f>
        <v>3.1210869661818547E-2</v>
      </c>
      <c r="F4" s="19">
        <f>BS('Smile FX + 1bp'!$C$2,B4,'Smile FX + 1bp'!$I$6,D4,-1)*'Smile FX + 1bp'!$I$14</f>
        <v>3.1194930090839824E-2</v>
      </c>
      <c r="G4" s="5">
        <f>(F4-E4)*10000</f>
        <v>-0.15939570978722173</v>
      </c>
      <c r="H4">
        <f>BSDelta('Smile FX'!$C$2,B4,'Smile FX'!$I$6,C4,-1)*'Smile FX'!$I$13</f>
        <v>-0.25000000000000011</v>
      </c>
      <c r="I4" s="5">
        <f>BSVega('Smile FX'!$C$2,B4,'Smile FX'!$I$6,C4,-1)*'Smile FX'!$I$13</f>
        <v>0.44009040184374171</v>
      </c>
      <c r="J4" s="5">
        <f t="shared" ref="J4:J7" si="1">H4+I4*(D4-C4)*10000</f>
        <v>-0.15954538223970516</v>
      </c>
    </row>
    <row r="5" spans="2:10">
      <c r="B5" s="18">
        <f>'Smile FX'!D6</f>
        <v>1.3975379299125779</v>
      </c>
      <c r="C5" s="5">
        <f t="shared" si="0"/>
        <v>0.12</v>
      </c>
      <c r="D5" s="5">
        <f>Spline($B5,'Spline + 1bp'!Ks,'Spline + 1bp'!Vols,'Spline + 1bp'!coeffa,'Spline + 1bp'!coeffb)</f>
        <v>0.12000842667277113</v>
      </c>
      <c r="E5" s="19">
        <f>(BS('Smile FX'!$C$2,B5,'Smile FX'!$I$6,C5,-1)*'Smile FX'!$I$14+BS('Smile FX'!$C$2,B5,'Smile FX'!$I$6,C5,1)*'Smile FX'!$I$14)/2</f>
        <v>6.6544279250009136E-2</v>
      </c>
      <c r="F5" s="19">
        <f>(BS('Smile FX + 1bp'!$C$2,B5,'Smile FX + 1bp'!$I$6,D5,-1)*'Smile FX + 1bp'!$I$14+BS('Smile FX + 1bp'!$C$2,B5,'Smile FX + 1bp'!$I$6,D5,1)*'Smile FX + 1bp'!$I$14)/2</f>
        <v>6.6548942007814582E-2</v>
      </c>
      <c r="G5" s="5">
        <f>(F5-E5)*10000</f>
        <v>4.662757805445894E-2</v>
      </c>
      <c r="H5">
        <f>(BSDelta('Smile FX'!$C$2,B5,'Smile FX'!$I$6,C5,-1)+BSDelta('Smile FX'!$C$2,B5,'Smile FX'!$I$6,C5,1))*'Smile FX'!$I$13/2</f>
        <v>-2.2115820049606138E-16</v>
      </c>
      <c r="I5" s="5">
        <f>(BSVega('Smile FX'!$C$2,B5,'Smile FX'!$I$6,C5,-1)+BSVega('Smile FX'!$C$2,B5,'Smile FX'!$I$6,C5,1))*'Smile FX'!$I$13/2</f>
        <v>0.55132739319082147</v>
      </c>
      <c r="J5" s="5">
        <f t="shared" si="1"/>
        <v>4.6458555321826245E-2</v>
      </c>
    </row>
    <row r="6" spans="2:10">
      <c r="B6" s="18">
        <f>'Smile FX'!D7</f>
        <v>1.5147840053474282</v>
      </c>
      <c r="C6" s="5">
        <f t="shared" si="0"/>
        <v>0.12000000000000001</v>
      </c>
      <c r="D6" s="5">
        <f>Spline($B6,'Spline + 1bp'!Ks,'Spline + 1bp'!Vols,'Spline + 1bp'!coeffa,'Spline + 1bp'!coeffb)</f>
        <v>0.11999227885548143</v>
      </c>
      <c r="E6" s="19">
        <f>BS('Smile FX'!$C$2,B6,'Smile FX'!$I$6,C6,1)*'Smile FX'!$I$14</f>
        <v>2.3469195022035233E-2</v>
      </c>
      <c r="F6" s="19">
        <f>BS('Smile FX + 1bp'!$C$2,B6,'Smile FX + 1bp'!$I$6,D6,1)*'Smile FX + 1bp'!$I$14</f>
        <v>2.3490801580470802E-2</v>
      </c>
      <c r="G6" s="5">
        <f>(F6-E6)*10000</f>
        <v>0.21606558435569023</v>
      </c>
      <c r="H6">
        <f>BSDelta('Smile FX'!$C$2,B6,'Smile FX'!$I$6,C6,1)*'Smile FX'!$I$13</f>
        <v>0.24999999999999978</v>
      </c>
      <c r="I6" s="5">
        <f>BSVega('Smile FX'!$C$2,B6,'Smile FX'!$I$6,C6,-1)*'Smile FX'!$I$13</f>
        <v>0.44009040184374149</v>
      </c>
      <c r="J6" s="5">
        <f t="shared" si="1"/>
        <v>0.21601998406124567</v>
      </c>
    </row>
    <row r="7" spans="2:10">
      <c r="B7" s="18">
        <f>'Smile FX'!D8</f>
        <v>1.6760000341481525</v>
      </c>
      <c r="C7" s="5">
        <f t="shared" si="0"/>
        <v>0.14000000000000001</v>
      </c>
      <c r="D7" s="5">
        <f>Spline($B7,'Spline + 1bp'!Ks,'Spline + 1bp'!Vols,'Spline + 1bp'!coeffa,'Spline + 1bp'!coeffb)</f>
        <v>0.13998182116659502</v>
      </c>
      <c r="E7" s="19">
        <f>BS('Smile FX'!$C$2,B7,'Smile FX'!$I$6,C7,1)*'Smile FX'!$I$14</f>
        <v>8.7039891956993565E-3</v>
      </c>
      <c r="F7" s="19">
        <f>BS('Smile FX + 1bp'!$C$2,B7,'Smile FX + 1bp'!$I$6,D7,1)*'Smile FX + 1bp'!$I$14</f>
        <v>8.709564694371336E-3</v>
      </c>
      <c r="G7" s="5">
        <f>(F7-E7)*10000</f>
        <v>5.5754986719794286E-2</v>
      </c>
      <c r="H7">
        <f>BSDelta('Smile FX'!$C$2,B7,'Smile FX'!$I$6,C7,1)*'Smile FX'!$I$13</f>
        <v>0.1</v>
      </c>
      <c r="I7" s="5">
        <f>BSVega('Smile FX'!$C$2,B7,'Smile FX'!$I$6,C7,-1)*'Smile FX'!$I$13</f>
        <v>0.24324314150390694</v>
      </c>
      <c r="J7" s="5">
        <f t="shared" si="1"/>
        <v>5.5781234536937049E-2</v>
      </c>
    </row>
    <row r="9" spans="2:10">
      <c r="C9" s="20"/>
      <c r="D9" s="20"/>
      <c r="E9" s="20"/>
    </row>
    <row r="10" spans="2:10">
      <c r="C10" s="20"/>
      <c r="D10" s="20"/>
      <c r="E10" s="20"/>
    </row>
    <row r="11" spans="2:10">
      <c r="C11" s="20"/>
      <c r="D11" s="20"/>
      <c r="E11" s="20"/>
    </row>
    <row r="12" spans="2:10">
      <c r="C12" s="20"/>
      <c r="D12" s="20"/>
      <c r="E12" s="20"/>
    </row>
    <row r="13" spans="2:10">
      <c r="C13" s="20"/>
      <c r="D13" s="20"/>
      <c r="E13" s="20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A1:U23"/>
  <sheetViews>
    <sheetView topLeftCell="C1" zoomScale="200" zoomScaleNormal="200" workbookViewId="0">
      <selection activeCell="E5" sqref="E5"/>
    </sheetView>
  </sheetViews>
  <sheetFormatPr baseColWidth="10" defaultRowHeight="14.4"/>
  <cols>
    <col min="5" max="5" width="11.77734375" bestFit="1" customWidth="1"/>
    <col min="12" max="12" width="8.77734375" customWidth="1"/>
    <col min="20" max="20" width="6.5546875" bestFit="1" customWidth="1"/>
  </cols>
  <sheetData>
    <row r="1" spans="1:21">
      <c r="B1">
        <f>(D1-C1)/20</f>
        <v>2.9999999999999992E-2</v>
      </c>
      <c r="C1">
        <v>1.1000000000000001</v>
      </c>
      <c r="D1">
        <v>1.7</v>
      </c>
    </row>
    <row r="2" spans="1:21">
      <c r="B2" t="s">
        <v>18</v>
      </c>
      <c r="C2" t="s">
        <v>20</v>
      </c>
      <c r="D2" t="s">
        <v>26</v>
      </c>
    </row>
    <row r="3" spans="1:21">
      <c r="A3">
        <v>1</v>
      </c>
      <c r="B3">
        <v>1</v>
      </c>
      <c r="C3" s="5">
        <f t="shared" ref="C3:C23" si="0">Spline(B3,Ks,Vols,coeffa,coeffb)</f>
        <v>0.2109302044471158</v>
      </c>
      <c r="D3" s="5">
        <f t="shared" ref="D3:D23" si="1">Spline(B3+0.0001,Ks,Vols,coeffa,coeffb)</f>
        <v>0.2109044568135946</v>
      </c>
      <c r="E3" s="5">
        <f>(-BS('Smile FX'!$C$2,B3,'Smile FX'!$I$6,C3,-1)+BS('Smile FX'!$C$2,B3+0.0001,'Smile FX'!$I$6,D3,-1))*'Smile FX'!$I$14*10000</f>
        <v>3.7767761781223888E-2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3"/>
      <c r="U3" s="3"/>
    </row>
    <row r="4" spans="1:21">
      <c r="A4">
        <f>A3+1</f>
        <v>2</v>
      </c>
      <c r="B4">
        <f>B3+$B$1</f>
        <v>1.03</v>
      </c>
      <c r="C4" s="5">
        <f t="shared" si="0"/>
        <v>0.20320591439076402</v>
      </c>
      <c r="D4" s="5">
        <f t="shared" si="1"/>
        <v>0.20318016675724287</v>
      </c>
      <c r="E4" s="5">
        <f>(-BS('Smile FX'!$C$2,B4,'Smile FX'!$I$6,C4,-1)+BS('Smile FX'!$C$2,B4+0.0001,'Smile FX'!$I$6,D4,-1))*'Smile FX'!$I$14*10000</f>
        <v>4.436291159635506E-2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3"/>
      <c r="U4" s="3"/>
    </row>
    <row r="5" spans="1:21">
      <c r="A5">
        <f t="shared" ref="A5:A23" si="2">A4+1</f>
        <v>3</v>
      </c>
      <c r="B5">
        <f t="shared" ref="B5:B23" si="3">B4+$B$1</f>
        <v>1.06</v>
      </c>
      <c r="C5" s="5">
        <f t="shared" si="0"/>
        <v>0.1954816243344123</v>
      </c>
      <c r="D5" s="5">
        <f t="shared" si="1"/>
        <v>0.19545587670089112</v>
      </c>
      <c r="E5" s="5">
        <f>(-BS('Smile FX'!$C$2,B5,'Smile FX'!$I$6,C5,-1)+BS('Smile FX'!$C$2,B5+0.0001,'Smile FX'!$I$6,D5,-1))*'Smile FX'!$I$14*10000</f>
        <v>5.2183634606522533E-2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14"/>
      <c r="T5" s="3"/>
      <c r="U5" s="3"/>
    </row>
    <row r="6" spans="1:21">
      <c r="A6">
        <f t="shared" si="2"/>
        <v>4</v>
      </c>
      <c r="B6">
        <f t="shared" si="3"/>
        <v>1.0900000000000001</v>
      </c>
      <c r="C6" s="5">
        <f t="shared" si="0"/>
        <v>0.18775733427806054</v>
      </c>
      <c r="D6" s="5">
        <f t="shared" si="1"/>
        <v>0.18773158664453937</v>
      </c>
      <c r="E6" s="5">
        <f>(-BS('Smile FX'!$C$2,B6,'Smile FX'!$I$6,C6,-1)+BS('Smile FX'!$C$2,B6+0.0001,'Smile FX'!$I$6,D6,-1))*'Smile FX'!$I$14*10000</f>
        <v>6.150941372569569E-2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14"/>
      <c r="T6" s="3"/>
      <c r="U6" s="3"/>
    </row>
    <row r="7" spans="1:21">
      <c r="A7">
        <f t="shared" si="2"/>
        <v>5</v>
      </c>
      <c r="B7">
        <f t="shared" si="3"/>
        <v>1.1200000000000001</v>
      </c>
      <c r="C7" s="5">
        <f t="shared" si="0"/>
        <v>0.18003304422170882</v>
      </c>
      <c r="D7" s="5">
        <f t="shared" si="1"/>
        <v>0.18000729658818765</v>
      </c>
      <c r="E7" s="5">
        <f>(-BS('Smile FX'!$C$2,B7,'Smile FX'!$I$6,C7,-1)+BS('Smile FX'!$C$2,B7+0.0001,'Smile FX'!$I$6,D7,-1))*'Smile FX'!$I$14*10000</f>
        <v>7.2694030385690417E-2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4"/>
      <c r="T7" s="3"/>
      <c r="U7" s="3"/>
    </row>
    <row r="8" spans="1:21">
      <c r="A8">
        <f t="shared" si="2"/>
        <v>6</v>
      </c>
      <c r="B8">
        <f t="shared" si="3"/>
        <v>1.1500000000000001</v>
      </c>
      <c r="C8" s="5">
        <f t="shared" si="0"/>
        <v>0.17182435612602626</v>
      </c>
      <c r="D8" s="5">
        <f t="shared" si="1"/>
        <v>0.17179711203210704</v>
      </c>
      <c r="E8" s="5">
        <f>(-BS('Smile FX'!$C$2,B8,'Smile FX'!$I$6,C8,-1)+BS('Smile FX'!$C$2,B8+0.0001,'Smile FX'!$I$6,D8,-1))*'Smile FX'!$I$14*10000</f>
        <v>8.1502182824771188E-2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14"/>
      <c r="T8" s="3"/>
      <c r="U8" s="3"/>
    </row>
    <row r="9" spans="1:21">
      <c r="A9">
        <f t="shared" si="2"/>
        <v>7</v>
      </c>
      <c r="B9">
        <f t="shared" si="3"/>
        <v>1.1800000000000002</v>
      </c>
      <c r="C9" s="5">
        <f t="shared" si="0"/>
        <v>0.16372604828581763</v>
      </c>
      <c r="D9" s="5">
        <f t="shared" si="1"/>
        <v>0.16369936833213156</v>
      </c>
      <c r="E9" s="5">
        <f>(-BS('Smile FX'!$C$2,B9,'Smile FX'!$I$6,C9,-1)+BS('Smile FX'!$C$2,B9+0.0001,'Smile FX'!$I$6,D9,-1))*'Smile FX'!$I$14*10000</f>
        <v>9.8584749780936315E-2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14"/>
      <c r="T9" s="3"/>
      <c r="U9" s="3"/>
    </row>
    <row r="10" spans="1:21">
      <c r="A10">
        <f t="shared" si="2"/>
        <v>8</v>
      </c>
      <c r="B10">
        <f t="shared" si="3"/>
        <v>1.2100000000000002</v>
      </c>
      <c r="C10" s="5">
        <f t="shared" si="0"/>
        <v>0.15585330654458404</v>
      </c>
      <c r="D10" s="5">
        <f t="shared" si="1"/>
        <v>0.1558275674804892</v>
      </c>
      <c r="E10" s="5">
        <f>(-BS('Smile FX'!$C$2,B10,'Smile FX'!$I$6,C10,-1)+BS('Smile FX'!$C$2,B10+0.0001,'Smile FX'!$I$6,D10,-1))*'Smile FX'!$I$14*10000</f>
        <v>0.12121643919288883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14"/>
      <c r="T10" s="3"/>
      <c r="U10" s="3"/>
    </row>
    <row r="11" spans="1:21">
      <c r="A11">
        <f t="shared" si="2"/>
        <v>9</v>
      </c>
      <c r="B11">
        <f t="shared" si="3"/>
        <v>1.2400000000000002</v>
      </c>
      <c r="C11" s="5">
        <f t="shared" si="0"/>
        <v>0.14831915570974602</v>
      </c>
      <c r="D11" s="5">
        <f t="shared" si="1"/>
        <v>0.14829473428460041</v>
      </c>
      <c r="E11" s="5">
        <f>(-BS('Smile FX'!$C$2,B11,'Smile FX'!$I$6,C11,-1)+BS('Smile FX'!$C$2,B11+0.0001,'Smile FX'!$I$6,D11,-1))*'Smile FX'!$I$14*10000</f>
        <v>0.15105210141788761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14"/>
      <c r="T11" s="3"/>
      <c r="U11" s="3"/>
    </row>
    <row r="12" spans="1:21">
      <c r="A12">
        <f t="shared" si="2"/>
        <v>10</v>
      </c>
      <c r="B12">
        <f t="shared" si="3"/>
        <v>1.2700000000000002</v>
      </c>
      <c r="C12" s="5">
        <f t="shared" si="0"/>
        <v>0.14123662058872397</v>
      </c>
      <c r="D12" s="5">
        <f t="shared" si="1"/>
        <v>0.14121389355188574</v>
      </c>
      <c r="E12" s="5">
        <f>(-BS('Smile FX'!$C$2,B12,'Smile FX'!$I$6,C12,-1)+BS('Smile FX'!$C$2,B12+0.0001,'Smile FX'!$I$6,D12,-1))*'Smile FX'!$I$14*10000</f>
        <v>0.18995036473352161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14"/>
      <c r="T12" s="3"/>
      <c r="U12" s="3"/>
    </row>
    <row r="13" spans="1:21">
      <c r="A13">
        <f t="shared" si="2"/>
        <v>11</v>
      </c>
      <c r="B13">
        <f t="shared" si="3"/>
        <v>1.3000000000000003</v>
      </c>
      <c r="C13" s="5">
        <f t="shared" si="0"/>
        <v>0.13472847783614803</v>
      </c>
      <c r="D13" s="5">
        <f t="shared" si="1"/>
        <v>0.13470794174909001</v>
      </c>
      <c r="E13" s="5">
        <f>(-BS('Smile FX'!$C$2,B13,'Smile FX'!$I$6,C13,-1)+BS('Smile FX'!$C$2,B13+0.0001,'Smile FX'!$I$6,D13,-1))*'Smile FX'!$I$14*10000</f>
        <v>0.24032131289286093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14"/>
      <c r="T13" s="3"/>
      <c r="U13" s="3"/>
    </row>
    <row r="14" spans="1:21">
      <c r="A14">
        <f t="shared" si="2"/>
        <v>12</v>
      </c>
      <c r="B14">
        <f t="shared" si="3"/>
        <v>1.3300000000000003</v>
      </c>
      <c r="C14" s="5">
        <f t="shared" si="0"/>
        <v>0.12898571376783763</v>
      </c>
      <c r="D14" s="5">
        <f t="shared" si="1"/>
        <v>0.12896809683386584</v>
      </c>
      <c r="E14" s="5">
        <f>(-BS('Smile FX'!$C$2,B14,'Smile FX'!$I$6,C14,-1)+BS('Smile FX'!$C$2,B14+0.0001,'Smile FX'!$I$6,D14,-1))*'Smile FX'!$I$14*10000</f>
        <v>0.30489902866944335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14"/>
      <c r="T14" s="3"/>
      <c r="U14" s="3"/>
    </row>
    <row r="15" spans="1:21">
      <c r="A15">
        <f t="shared" si="2"/>
        <v>13</v>
      </c>
      <c r="B15">
        <f t="shared" si="3"/>
        <v>1.3600000000000003</v>
      </c>
      <c r="C15" s="5">
        <f t="shared" si="0"/>
        <v>0.12422843784178388</v>
      </c>
      <c r="D15" s="5">
        <f t="shared" si="1"/>
        <v>0.12421447412254638</v>
      </c>
      <c r="E15" s="5">
        <f>(-BS('Smile FX'!$C$2,B15,'Smile FX'!$I$6,C15,-1)+BS('Smile FX'!$C$2,B15+0.0001,'Smile FX'!$I$6,D15,-1))*'Smile FX'!$I$14*10000</f>
        <v>0.38409247228104448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14"/>
      <c r="T15" s="3"/>
      <c r="U15" s="3"/>
    </row>
    <row r="16" spans="1:21">
      <c r="A16">
        <f t="shared" si="2"/>
        <v>14</v>
      </c>
      <c r="B16">
        <f t="shared" si="3"/>
        <v>1.3900000000000003</v>
      </c>
      <c r="C16" s="5">
        <f t="shared" si="0"/>
        <v>0.12067686855240028</v>
      </c>
      <c r="D16" s="5">
        <f t="shared" si="1"/>
        <v>0.12066729210954513</v>
      </c>
      <c r="E16" s="5">
        <f>(-BS('Smile FX'!$C$2,B16,'Smile FX'!$I$6,C16,-1)+BS('Smile FX'!$C$2,B16+0.0001,'Smile FX'!$I$6,D16,-1))*'Smile FX'!$I$14*10000</f>
        <v>0.47569993872841176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14"/>
      <c r="T16" s="3"/>
      <c r="U16" s="3"/>
    </row>
    <row r="17" spans="1:21">
      <c r="A17">
        <f t="shared" si="2"/>
        <v>15</v>
      </c>
      <c r="B17">
        <f t="shared" si="3"/>
        <v>1.4200000000000004</v>
      </c>
      <c r="C17" s="5">
        <f t="shared" si="0"/>
        <v>0.11852525329217073</v>
      </c>
      <c r="D17" s="5">
        <f t="shared" si="1"/>
        <v>0.11852044977472714</v>
      </c>
      <c r="E17" s="5">
        <f>(-BS('Smile FX'!$C$2,B17,'Smile FX'!$I$6,C17,-1)+BS('Smile FX'!$C$2,B17+0.0001,'Smile FX'!$I$6,D17,-1))*'Smile FX'!$I$14*10000</f>
        <v>0.57251150164209119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14"/>
      <c r="T17" s="3"/>
      <c r="U17" s="3"/>
    </row>
    <row r="18" spans="1:21">
      <c r="A18">
        <f t="shared" si="2"/>
        <v>16</v>
      </c>
      <c r="B18">
        <f t="shared" si="3"/>
        <v>1.4500000000000004</v>
      </c>
      <c r="C18" s="5">
        <f t="shared" si="0"/>
        <v>0.11774083868389845</v>
      </c>
      <c r="D18" s="5">
        <f t="shared" si="1"/>
        <v>0.11774034323031474</v>
      </c>
      <c r="E18" s="5">
        <f>(-BS('Smile FX'!$C$2,B18,'Smile FX'!$I$6,C18,-1)+BS('Smile FX'!$C$2,B18+0.0001,'Smile FX'!$I$6,D18,-1))*'Smile FX'!$I$14*10000</f>
        <v>0.66300149842098677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14"/>
      <c r="T18" s="3"/>
      <c r="U18" s="3"/>
    </row>
    <row r="19" spans="1:21">
      <c r="A19">
        <f t="shared" si="2"/>
        <v>17</v>
      </c>
      <c r="B19">
        <f t="shared" si="3"/>
        <v>1.4800000000000004</v>
      </c>
      <c r="C19" s="5">
        <f t="shared" si="0"/>
        <v>0.11817358363242025</v>
      </c>
      <c r="D19" s="5">
        <f t="shared" si="1"/>
        <v>0.11817689283399295</v>
      </c>
      <c r="E19" s="5">
        <f>(-BS('Smile FX'!$C$2,B19,'Smile FX'!$I$6,C19,-1)+BS('Smile FX'!$C$2,B19+0.0001,'Smile FX'!$I$6,D19,-1))*'Smile FX'!$I$14*10000</f>
        <v>0.74159159536003794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14"/>
      <c r="T19" s="3"/>
      <c r="U19" s="3"/>
    </row>
    <row r="20" spans="1:21">
      <c r="A20">
        <f t="shared" si="2"/>
        <v>18</v>
      </c>
      <c r="B20">
        <f t="shared" si="3"/>
        <v>1.5100000000000005</v>
      </c>
      <c r="C20" s="5">
        <f t="shared" si="0"/>
        <v>0.11967246552669876</v>
      </c>
      <c r="D20" s="5">
        <f t="shared" si="1"/>
        <v>0.11967907597472442</v>
      </c>
      <c r="E20" s="5">
        <f>(-BS('Smile FX'!$C$2,B20,'Smile FX'!$I$6,C20,-1)+BS('Smile FX'!$C$2,B20+0.0001,'Smile FX'!$I$6,D20,-1))*'Smile FX'!$I$14*10000</f>
        <v>0.8057144119034173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14"/>
      <c r="T20" s="3"/>
      <c r="U20" s="3"/>
    </row>
    <row r="21" spans="1:21">
      <c r="A21">
        <f t="shared" si="2"/>
        <v>19</v>
      </c>
      <c r="B21">
        <f t="shared" si="3"/>
        <v>1.5400000000000005</v>
      </c>
      <c r="C21" s="5">
        <f t="shared" si="0"/>
        <v>0.12208499839470911</v>
      </c>
      <c r="D21" s="5">
        <f t="shared" si="1"/>
        <v>0.12209438920143595</v>
      </c>
      <c r="E21" s="5">
        <f>(-BS('Smile FX'!$C$2,B21,'Smile FX'!$I$6,C21,-1)+BS('Smile FX'!$C$2,B21+0.0001,'Smile FX'!$I$6,D21,-1))*'Smile FX'!$I$14*10000</f>
        <v>0.85537747889142224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14"/>
      <c r="T21" s="3"/>
      <c r="U21" s="3"/>
    </row>
    <row r="22" spans="1:21">
      <c r="A22">
        <f t="shared" si="2"/>
        <v>20</v>
      </c>
      <c r="B22">
        <f t="shared" si="3"/>
        <v>1.5700000000000005</v>
      </c>
      <c r="C22" s="5">
        <f t="shared" si="0"/>
        <v>0.12524918522855905</v>
      </c>
      <c r="D22" s="5">
        <f t="shared" si="1"/>
        <v>0.12526080431368461</v>
      </c>
      <c r="E22" s="5">
        <f>(-BS('Smile FX'!$C$2,B22,'Smile FX'!$I$6,C22,-1)+BS('Smile FX'!$C$2,B22+0.0001,'Smile FX'!$I$6,D22,-1))*'Smile FX'!$I$14*10000</f>
        <v>0.89228074297234306</v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14"/>
      <c r="T22" s="3"/>
      <c r="U22" s="3"/>
    </row>
    <row r="23" spans="1:21">
      <c r="A23">
        <f t="shared" si="2"/>
        <v>21</v>
      </c>
      <c r="B23">
        <f t="shared" si="3"/>
        <v>1.6000000000000005</v>
      </c>
      <c r="C23" s="5">
        <f t="shared" si="0"/>
        <v>0.12899922783670684</v>
      </c>
      <c r="D23" s="5">
        <f t="shared" si="1"/>
        <v>0.12901252250628248</v>
      </c>
      <c r="E23" s="5">
        <f>(-BS('Smile FX'!$C$2,B23,'Smile FX'!$I$6,C23,-1)+BS('Smile FX'!$C$2,B23+0.0001,'Smile FX'!$I$6,D23,-1))*'Smile FX'!$I$14*10000</f>
        <v>0.91893221599495556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14"/>
      <c r="T23" s="3"/>
      <c r="U2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8</vt:i4>
      </vt:variant>
    </vt:vector>
  </HeadingPairs>
  <TitlesOfParts>
    <vt:vector size="15" baseType="lpstr">
      <vt:lpstr>Smile FX</vt:lpstr>
      <vt:lpstr>Spline</vt:lpstr>
      <vt:lpstr>Smile FX + 1bp</vt:lpstr>
      <vt:lpstr>Spline + 1bp</vt:lpstr>
      <vt:lpstr>View</vt:lpstr>
      <vt:lpstr>Delta</vt:lpstr>
      <vt:lpstr>Digit</vt:lpstr>
      <vt:lpstr>'Spline + 1bp'!coeffa</vt:lpstr>
      <vt:lpstr>coeffa</vt:lpstr>
      <vt:lpstr>'Spline + 1bp'!coeffb</vt:lpstr>
      <vt:lpstr>coeffb</vt:lpstr>
      <vt:lpstr>'Spline + 1bp'!Ks</vt:lpstr>
      <vt:lpstr>Ks</vt:lpstr>
      <vt:lpstr>'Spline + 1bp'!Vols</vt:lpstr>
      <vt:lpstr>Vols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2014-04-09T10:37:18Z</dcterms:created>
  <dcterms:modified xsi:type="dcterms:W3CDTF">2014-04-22T19:32:19Z</dcterms:modified>
</cp:coreProperties>
</file>