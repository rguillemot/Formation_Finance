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8" windowWidth="19416" windowHeight="7992" firstSheet="1" activeTab="5"/>
  </bookViews>
  <sheets>
    <sheet name="Mensualité Fixe" sheetId="1" r:id="rId1"/>
    <sheet name="Sensiblité swap" sheetId="2" r:id="rId2"/>
    <sheet name="Sensiblité swap Multi Courbe" sheetId="4" r:id="rId3"/>
    <sheet name="Swaption" sheetId="5" r:id="rId4"/>
    <sheet name="Credit Spread vs Proba" sheetId="6" r:id="rId5"/>
    <sheet name="CVA-DVA" sheetId="7" r:id="rId6"/>
  </sheets>
  <functionGroups/>
  <calcPr calcId="124519"/>
</workbook>
</file>

<file path=xl/calcChain.xml><?xml version="1.0" encoding="utf-8"?>
<calcChain xmlns="http://schemas.openxmlformats.org/spreadsheetml/2006/main">
  <c r="C21" i="2"/>
  <c r="C23" i="4"/>
  <c r="J33" s="1"/>
  <c r="C22"/>
  <c r="F32"/>
  <c r="F33"/>
  <c r="F34"/>
  <c r="F35"/>
  <c r="F36"/>
  <c r="F37"/>
  <c r="F38"/>
  <c r="F39"/>
  <c r="F40"/>
  <c r="F31"/>
  <c r="C3"/>
  <c r="D5" i="1"/>
  <c r="H14" i="6"/>
  <c r="I14"/>
  <c r="J14"/>
  <c r="H15"/>
  <c r="I15"/>
  <c r="J15"/>
  <c r="H16"/>
  <c r="I16"/>
  <c r="J16"/>
  <c r="H17"/>
  <c r="I17"/>
  <c r="J17"/>
  <c r="H18"/>
  <c r="I18"/>
  <c r="J18"/>
  <c r="H19"/>
  <c r="I19"/>
  <c r="J19"/>
  <c r="H20"/>
  <c r="I20"/>
  <c r="J20"/>
  <c r="H21"/>
  <c r="I21"/>
  <c r="J21"/>
  <c r="H22"/>
  <c r="I22"/>
  <c r="J22"/>
  <c r="H23"/>
  <c r="I23"/>
  <c r="J23"/>
  <c r="H24"/>
  <c r="I24"/>
  <c r="J24"/>
  <c r="H25"/>
  <c r="I25"/>
  <c r="J25"/>
  <c r="H26"/>
  <c r="I26"/>
  <c r="J26"/>
  <c r="H27"/>
  <c r="I27"/>
  <c r="J27"/>
  <c r="H28"/>
  <c r="I28"/>
  <c r="J28"/>
  <c r="H29"/>
  <c r="I29"/>
  <c r="J29"/>
  <c r="H30"/>
  <c r="I30"/>
  <c r="J30"/>
  <c r="H31"/>
  <c r="I31"/>
  <c r="J31"/>
  <c r="H32"/>
  <c r="I32"/>
  <c r="J32"/>
  <c r="F12" i="5"/>
  <c r="H6"/>
  <c r="H10"/>
  <c r="H2"/>
  <c r="I6"/>
  <c r="I10"/>
  <c r="H8"/>
  <c r="I4"/>
  <c r="I12"/>
  <c r="H11"/>
  <c r="I7"/>
  <c r="H5"/>
  <c r="H9"/>
  <c r="H3"/>
  <c r="I5"/>
  <c r="I9"/>
  <c r="I2"/>
  <c r="H4"/>
  <c r="H12"/>
  <c r="I8"/>
  <c r="H7"/>
  <c r="I3"/>
  <c r="I11"/>
  <c r="J38" i="4" l="1"/>
  <c r="J34"/>
  <c r="J39"/>
  <c r="J35"/>
  <c r="J40"/>
  <c r="J36"/>
  <c r="J32"/>
  <c r="J31"/>
  <c r="J37"/>
  <c r="J12" i="5"/>
  <c r="J2"/>
  <c r="J11"/>
  <c r="J10"/>
  <c r="J9"/>
  <c r="J8"/>
  <c r="J7"/>
  <c r="J6"/>
  <c r="J5"/>
  <c r="J4"/>
  <c r="J3"/>
  <c r="F11"/>
  <c r="F4"/>
  <c r="F5" s="1"/>
  <c r="F6" s="1"/>
  <c r="F7" s="1"/>
  <c r="F8" s="1"/>
  <c r="F9" s="1"/>
  <c r="F10" s="1"/>
  <c r="F3"/>
  <c r="I19" i="7"/>
  <c r="O19"/>
  <c r="N19"/>
  <c r="F20"/>
  <c r="F21"/>
  <c r="F22"/>
  <c r="F23"/>
  <c r="F24"/>
  <c r="F25"/>
  <c r="F26"/>
  <c r="F27"/>
  <c r="F19"/>
  <c r="H20"/>
  <c r="H21"/>
  <c r="H22"/>
  <c r="H23"/>
  <c r="H24"/>
  <c r="H25"/>
  <c r="H26"/>
  <c r="H27"/>
  <c r="H19"/>
  <c r="D19"/>
  <c r="C19"/>
  <c r="B20"/>
  <c r="D7"/>
  <c r="D6" i="6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13"/>
  <c r="G13"/>
  <c r="H13" s="1"/>
  <c r="J13" s="1"/>
  <c r="F13"/>
  <c r="B14"/>
  <c r="F14" s="1"/>
  <c r="D9" i="5"/>
  <c r="F21"/>
  <c r="F22"/>
  <c r="F23"/>
  <c r="F24"/>
  <c r="F20"/>
  <c r="I21"/>
  <c r="I22"/>
  <c r="I23"/>
  <c r="I24"/>
  <c r="I20"/>
  <c r="C7" s="1"/>
  <c r="E13" s="1"/>
  <c r="D21"/>
  <c r="K21" s="1"/>
  <c r="D22"/>
  <c r="D23"/>
  <c r="K23" s="1"/>
  <c r="D24"/>
  <c r="D20"/>
  <c r="B21"/>
  <c r="G21" s="1"/>
  <c r="B22"/>
  <c r="B23"/>
  <c r="G23" s="1"/>
  <c r="B24"/>
  <c r="B20"/>
  <c r="G20" s="1"/>
  <c r="H51" i="4"/>
  <c r="J12" s="1"/>
  <c r="L12" s="1"/>
  <c r="H52"/>
  <c r="J52" s="1"/>
  <c r="H53"/>
  <c r="J14" s="1"/>
  <c r="L14" s="1"/>
  <c r="H54"/>
  <c r="J54" s="1"/>
  <c r="H55"/>
  <c r="J16" s="1"/>
  <c r="L16" s="1"/>
  <c r="H56"/>
  <c r="J56" s="1"/>
  <c r="H57"/>
  <c r="J18" s="1"/>
  <c r="L18" s="1"/>
  <c r="H58"/>
  <c r="J58" s="1"/>
  <c r="H59"/>
  <c r="J20" s="1"/>
  <c r="L20" s="1"/>
  <c r="H50"/>
  <c r="J50" s="1"/>
  <c r="D59"/>
  <c r="D58"/>
  <c r="D57"/>
  <c r="D56"/>
  <c r="D55"/>
  <c r="D54"/>
  <c r="D53"/>
  <c r="D52"/>
  <c r="D51"/>
  <c r="C51"/>
  <c r="D50"/>
  <c r="B50"/>
  <c r="G50" s="1"/>
  <c r="D40"/>
  <c r="D39"/>
  <c r="D38"/>
  <c r="D37"/>
  <c r="D36"/>
  <c r="D35"/>
  <c r="D34"/>
  <c r="D33"/>
  <c r="D32"/>
  <c r="C32"/>
  <c r="I31"/>
  <c r="D31"/>
  <c r="B31"/>
  <c r="G31" s="1"/>
  <c r="D20"/>
  <c r="D19"/>
  <c r="D18"/>
  <c r="D17"/>
  <c r="D16"/>
  <c r="D15"/>
  <c r="D14"/>
  <c r="D13"/>
  <c r="D12"/>
  <c r="C12"/>
  <c r="I11"/>
  <c r="D11"/>
  <c r="B11"/>
  <c r="G11" s="1"/>
  <c r="E11" s="1"/>
  <c r="D6" i="2"/>
  <c r="I30"/>
  <c r="I31"/>
  <c r="I32"/>
  <c r="I33"/>
  <c r="I34"/>
  <c r="I35"/>
  <c r="I36"/>
  <c r="I37"/>
  <c r="I38"/>
  <c r="I29"/>
  <c r="D38"/>
  <c r="D37"/>
  <c r="D36"/>
  <c r="D35"/>
  <c r="D34"/>
  <c r="D33"/>
  <c r="D32"/>
  <c r="D31"/>
  <c r="D30"/>
  <c r="C30"/>
  <c r="D29"/>
  <c r="B29"/>
  <c r="G29" s="1"/>
  <c r="E29" s="1"/>
  <c r="D11"/>
  <c r="D12"/>
  <c r="D13"/>
  <c r="D14"/>
  <c r="D15"/>
  <c r="D16"/>
  <c r="D17"/>
  <c r="D18"/>
  <c r="D19"/>
  <c r="D10"/>
  <c r="B10"/>
  <c r="G10" s="1"/>
  <c r="I10"/>
  <c r="K10" s="1"/>
  <c r="C11"/>
  <c r="I11" s="1"/>
  <c r="K11" s="1"/>
  <c r="E10" i="1"/>
  <c r="F10" s="1"/>
  <c r="E11" s="1"/>
  <c r="F11" s="1"/>
  <c r="F9"/>
  <c r="C1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C104" s="1"/>
  <c r="C105" s="1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D10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J22" i="7"/>
  <c r="K22"/>
  <c r="L22"/>
  <c r="M22"/>
  <c r="J26"/>
  <c r="K26"/>
  <c r="L26"/>
  <c r="M26"/>
  <c r="J21"/>
  <c r="K21"/>
  <c r="L21"/>
  <c r="M21"/>
  <c r="J25"/>
  <c r="K25"/>
  <c r="L25"/>
  <c r="M25"/>
  <c r="J20"/>
  <c r="K20"/>
  <c r="L20"/>
  <c r="M20"/>
  <c r="J24"/>
  <c r="K24"/>
  <c r="L24"/>
  <c r="M24"/>
  <c r="J19"/>
  <c r="K19"/>
  <c r="L19"/>
  <c r="M19"/>
  <c r="J23"/>
  <c r="K23"/>
  <c r="L23"/>
  <c r="M23"/>
  <c r="J27"/>
  <c r="K27"/>
  <c r="L27"/>
  <c r="M27"/>
  <c r="C13" i="5"/>
  <c r="D13"/>
  <c r="E31" i="4" l="1"/>
  <c r="O20" i="7"/>
  <c r="I20"/>
  <c r="D20"/>
  <c r="N20"/>
  <c r="B21"/>
  <c r="C20"/>
  <c r="D21"/>
  <c r="I13" i="6"/>
  <c r="G14"/>
  <c r="B15"/>
  <c r="F15"/>
  <c r="K22" i="5"/>
  <c r="K24"/>
  <c r="G24"/>
  <c r="E24" s="1"/>
  <c r="J24" s="1"/>
  <c r="K20"/>
  <c r="G22"/>
  <c r="E22" s="1"/>
  <c r="J22" s="1"/>
  <c r="E20"/>
  <c r="J20" s="1"/>
  <c r="E23"/>
  <c r="J23" s="1"/>
  <c r="E21"/>
  <c r="J21" s="1"/>
  <c r="L40" i="4"/>
  <c r="L38"/>
  <c r="L36"/>
  <c r="L34"/>
  <c r="L32"/>
  <c r="J11"/>
  <c r="J19"/>
  <c r="J17"/>
  <c r="J15"/>
  <c r="J13"/>
  <c r="J59"/>
  <c r="J57"/>
  <c r="J55"/>
  <c r="J53"/>
  <c r="J51"/>
  <c r="K20"/>
  <c r="K18"/>
  <c r="K16"/>
  <c r="K14"/>
  <c r="K12"/>
  <c r="E58"/>
  <c r="E56"/>
  <c r="E54"/>
  <c r="E52"/>
  <c r="E59"/>
  <c r="E57"/>
  <c r="E55"/>
  <c r="E53"/>
  <c r="E51"/>
  <c r="E50"/>
  <c r="I50" s="1"/>
  <c r="C52"/>
  <c r="B51"/>
  <c r="G51" s="1"/>
  <c r="I12"/>
  <c r="C13"/>
  <c r="I32"/>
  <c r="C33"/>
  <c r="B12"/>
  <c r="G12" s="1"/>
  <c r="B32"/>
  <c r="G32" s="1"/>
  <c r="J29" i="2"/>
  <c r="K29"/>
  <c r="C31"/>
  <c r="B30"/>
  <c r="G30" s="1"/>
  <c r="B11"/>
  <c r="G11" s="1"/>
  <c r="E11" s="1"/>
  <c r="J11" s="1"/>
  <c r="E10"/>
  <c r="J10" s="1"/>
  <c r="C12"/>
  <c r="E12" i="1"/>
  <c r="F12" s="1"/>
  <c r="D6"/>
  <c r="E6"/>
  <c r="I21" i="7" l="1"/>
  <c r="O21"/>
  <c r="B22"/>
  <c r="N22" s="1"/>
  <c r="C21"/>
  <c r="N21"/>
  <c r="B16" i="6"/>
  <c r="G15"/>
  <c r="C16" i="5"/>
  <c r="C15"/>
  <c r="L35" i="4"/>
  <c r="L39"/>
  <c r="L15"/>
  <c r="K15"/>
  <c r="L19"/>
  <c r="K19"/>
  <c r="L33"/>
  <c r="L37"/>
  <c r="K31"/>
  <c r="L31"/>
  <c r="L13"/>
  <c r="K13"/>
  <c r="L17"/>
  <c r="K17"/>
  <c r="K11"/>
  <c r="L11"/>
  <c r="G52"/>
  <c r="B52"/>
  <c r="C53"/>
  <c r="I51"/>
  <c r="E32"/>
  <c r="K32" s="1"/>
  <c r="B13"/>
  <c r="G13" s="1"/>
  <c r="C14"/>
  <c r="I13"/>
  <c r="B33"/>
  <c r="G33" s="1"/>
  <c r="C34"/>
  <c r="I33"/>
  <c r="E12"/>
  <c r="B31" i="2"/>
  <c r="G31" s="1"/>
  <c r="C32"/>
  <c r="K30"/>
  <c r="E30"/>
  <c r="J30" s="1"/>
  <c r="B12"/>
  <c r="G12" s="1"/>
  <c r="C13"/>
  <c r="I12"/>
  <c r="E13" i="1"/>
  <c r="F13" s="1"/>
  <c r="C22" i="7" l="1"/>
  <c r="I22"/>
  <c r="O22"/>
  <c r="B23"/>
  <c r="O23" s="1"/>
  <c r="D22"/>
  <c r="B17" i="6"/>
  <c r="G16"/>
  <c r="F16"/>
  <c r="C17" i="5"/>
  <c r="C27" i="4"/>
  <c r="B53"/>
  <c r="G53" s="1"/>
  <c r="C54"/>
  <c r="I52"/>
  <c r="E33"/>
  <c r="K33" s="1"/>
  <c r="E13"/>
  <c r="G34"/>
  <c r="B34"/>
  <c r="C35"/>
  <c r="I34"/>
  <c r="G14"/>
  <c r="B14"/>
  <c r="C15"/>
  <c r="I14"/>
  <c r="B32" i="2"/>
  <c r="G32" s="1"/>
  <c r="C33"/>
  <c r="K31"/>
  <c r="E31"/>
  <c r="J31" s="1"/>
  <c r="E12"/>
  <c r="J12" s="1"/>
  <c r="K12"/>
  <c r="B13"/>
  <c r="G13" s="1"/>
  <c r="C14"/>
  <c r="I13"/>
  <c r="E14" i="1"/>
  <c r="F14" s="1"/>
  <c r="N23" i="7" l="1"/>
  <c r="I23"/>
  <c r="B24"/>
  <c r="O24" s="1"/>
  <c r="D23"/>
  <c r="C23"/>
  <c r="B18" i="6"/>
  <c r="G17"/>
  <c r="F17"/>
  <c r="I53" i="4"/>
  <c r="B54"/>
  <c r="G54" s="1"/>
  <c r="C55"/>
  <c r="E14"/>
  <c r="E34"/>
  <c r="K34" s="1"/>
  <c r="G15"/>
  <c r="B15"/>
  <c r="C16"/>
  <c r="I15"/>
  <c r="B35"/>
  <c r="G35" s="1"/>
  <c r="C36"/>
  <c r="I35"/>
  <c r="B33" i="2"/>
  <c r="G33" s="1"/>
  <c r="C34"/>
  <c r="K32"/>
  <c r="E32"/>
  <c r="J32" s="1"/>
  <c r="K13"/>
  <c r="B14"/>
  <c r="G14" s="1"/>
  <c r="C15"/>
  <c r="I14"/>
  <c r="E13"/>
  <c r="J13" s="1"/>
  <c r="E15" i="1"/>
  <c r="F15" s="1"/>
  <c r="N24" i="7" l="1"/>
  <c r="I24"/>
  <c r="B25"/>
  <c r="C24"/>
  <c r="D24"/>
  <c r="B19" i="6"/>
  <c r="G18"/>
  <c r="F18"/>
  <c r="I54" i="4"/>
  <c r="G55"/>
  <c r="B55"/>
  <c r="C56"/>
  <c r="B36"/>
  <c r="G36" s="1"/>
  <c r="C37"/>
  <c r="I36"/>
  <c r="B16"/>
  <c r="G16" s="1"/>
  <c r="C17"/>
  <c r="I16"/>
  <c r="E35"/>
  <c r="K35" s="1"/>
  <c r="E15"/>
  <c r="G34" i="2"/>
  <c r="B34"/>
  <c r="C35"/>
  <c r="K33"/>
  <c r="E33"/>
  <c r="J33" s="1"/>
  <c r="B15"/>
  <c r="G15" s="1"/>
  <c r="E14"/>
  <c r="K14"/>
  <c r="J14"/>
  <c r="C16"/>
  <c r="I15"/>
  <c r="E16" i="1"/>
  <c r="F16" s="1"/>
  <c r="I25" i="7" l="1"/>
  <c r="O25"/>
  <c r="B26"/>
  <c r="C25"/>
  <c r="D25"/>
  <c r="N25"/>
  <c r="B20" i="6"/>
  <c r="G19"/>
  <c r="F19"/>
  <c r="B56" i="4"/>
  <c r="G56" s="1"/>
  <c r="C57"/>
  <c r="I55"/>
  <c r="B17"/>
  <c r="G17" s="1"/>
  <c r="C18"/>
  <c r="I17"/>
  <c r="B37"/>
  <c r="G37" s="1"/>
  <c r="C38"/>
  <c r="I37"/>
  <c r="E16"/>
  <c r="E36"/>
  <c r="K36" s="1"/>
  <c r="G35" i="2"/>
  <c r="B35"/>
  <c r="C36"/>
  <c r="K34"/>
  <c r="E34"/>
  <c r="J34" s="1"/>
  <c r="E15"/>
  <c r="J15" s="1"/>
  <c r="K15"/>
  <c r="B16"/>
  <c r="G16" s="1"/>
  <c r="C17"/>
  <c r="I16"/>
  <c r="E17" i="1"/>
  <c r="F17" s="1"/>
  <c r="I26" i="7" l="1"/>
  <c r="O26"/>
  <c r="N26"/>
  <c r="B27"/>
  <c r="I27" s="1"/>
  <c r="D26"/>
  <c r="C26"/>
  <c r="B21" i="6"/>
  <c r="G20"/>
  <c r="F20"/>
  <c r="I56" i="4"/>
  <c r="G57"/>
  <c r="B57"/>
  <c r="C58"/>
  <c r="G38"/>
  <c r="B38"/>
  <c r="C39"/>
  <c r="I38"/>
  <c r="B18"/>
  <c r="G18" s="1"/>
  <c r="C19"/>
  <c r="I18"/>
  <c r="E37"/>
  <c r="K37" s="1"/>
  <c r="E17"/>
  <c r="B36" i="2"/>
  <c r="G36" s="1"/>
  <c r="C37"/>
  <c r="K35"/>
  <c r="E35"/>
  <c r="J35" s="1"/>
  <c r="K16"/>
  <c r="B17"/>
  <c r="G17" s="1"/>
  <c r="C18"/>
  <c r="I17"/>
  <c r="E16"/>
  <c r="J16" s="1"/>
  <c r="E18" i="1"/>
  <c r="F18" s="1"/>
  <c r="N27" i="7" l="1"/>
  <c r="O27"/>
  <c r="B28"/>
  <c r="D27"/>
  <c r="C27"/>
  <c r="B22" i="6"/>
  <c r="G21"/>
  <c r="F21"/>
  <c r="B58" i="4"/>
  <c r="G58" s="1"/>
  <c r="C59"/>
  <c r="I57"/>
  <c r="B19"/>
  <c r="G19" s="1"/>
  <c r="C20"/>
  <c r="I19"/>
  <c r="B39"/>
  <c r="G39" s="1"/>
  <c r="C40"/>
  <c r="I39"/>
  <c r="E18"/>
  <c r="E38"/>
  <c r="K38" s="1"/>
  <c r="G37" i="2"/>
  <c r="B37"/>
  <c r="C38"/>
  <c r="K36"/>
  <c r="E36"/>
  <c r="J36" s="1"/>
  <c r="G18"/>
  <c r="B18"/>
  <c r="K17"/>
  <c r="C19"/>
  <c r="I18"/>
  <c r="E17"/>
  <c r="J17" s="1"/>
  <c r="E19" i="1"/>
  <c r="F19" s="1"/>
  <c r="D28" i="7" l="1"/>
  <c r="C28"/>
  <c r="G21"/>
  <c r="G20"/>
  <c r="G19"/>
  <c r="G22"/>
  <c r="G23"/>
  <c r="G24"/>
  <c r="G25"/>
  <c r="G26"/>
  <c r="G27"/>
  <c r="B23" i="6"/>
  <c r="G22"/>
  <c r="F22"/>
  <c r="I58" i="4"/>
  <c r="G59"/>
  <c r="B59"/>
  <c r="B40"/>
  <c r="G40" s="1"/>
  <c r="I40"/>
  <c r="B20"/>
  <c r="G20" s="1"/>
  <c r="I20"/>
  <c r="E39"/>
  <c r="K39" s="1"/>
  <c r="E19"/>
  <c r="B38" i="2"/>
  <c r="G38" s="1"/>
  <c r="K37"/>
  <c r="E37"/>
  <c r="J37" s="1"/>
  <c r="B19"/>
  <c r="G19" s="1"/>
  <c r="E18"/>
  <c r="K18"/>
  <c r="J18"/>
  <c r="I19"/>
  <c r="E20" i="1"/>
  <c r="F20" s="1"/>
  <c r="C13" i="7" l="1"/>
  <c r="E19"/>
  <c r="E23"/>
  <c r="E27"/>
  <c r="E20"/>
  <c r="E25"/>
  <c r="E22"/>
  <c r="E24"/>
  <c r="E21"/>
  <c r="E26"/>
  <c r="B24" i="6"/>
  <c r="G23"/>
  <c r="F23"/>
  <c r="C46" i="4"/>
  <c r="I59"/>
  <c r="C45" s="1"/>
  <c r="E40"/>
  <c r="K40" s="1"/>
  <c r="C26" s="1"/>
  <c r="C7"/>
  <c r="D7" s="1"/>
  <c r="E20"/>
  <c r="C6" s="1"/>
  <c r="K38" i="2"/>
  <c r="C25" s="1"/>
  <c r="E38"/>
  <c r="J38" s="1"/>
  <c r="C24" s="1"/>
  <c r="D5" s="1"/>
  <c r="D7" s="1"/>
  <c r="E19"/>
  <c r="J19" s="1"/>
  <c r="C5" s="1"/>
  <c r="K19"/>
  <c r="C6" s="1"/>
  <c r="F21" i="1"/>
  <c r="E21"/>
  <c r="C8" i="4" l="1"/>
  <c r="G4" i="7"/>
  <c r="H4" s="1"/>
  <c r="I4" s="1"/>
  <c r="J4"/>
  <c r="K4" s="1"/>
  <c r="L4" s="1"/>
  <c r="J5"/>
  <c r="K5" s="1"/>
  <c r="L5" s="1"/>
  <c r="G5"/>
  <c r="H5" s="1"/>
  <c r="I5" s="1"/>
  <c r="B25" i="6"/>
  <c r="G24"/>
  <c r="F24"/>
  <c r="C47" i="4"/>
  <c r="C28"/>
  <c r="D6"/>
  <c r="D8" s="1"/>
  <c r="C26" i="2"/>
  <c r="C7"/>
  <c r="F22" i="1"/>
  <c r="E22"/>
  <c r="B26" i="6" l="1"/>
  <c r="G25"/>
  <c r="F25"/>
  <c r="E23" i="1"/>
  <c r="F23" s="1"/>
  <c r="B27" i="6" l="1"/>
  <c r="G26"/>
  <c r="F26"/>
  <c r="E24" i="1"/>
  <c r="F24" s="1"/>
  <c r="B28" i="6" l="1"/>
  <c r="G27"/>
  <c r="F27"/>
  <c r="E25" i="1"/>
  <c r="F25" s="1"/>
  <c r="B29" i="6" l="1"/>
  <c r="G28"/>
  <c r="F28"/>
  <c r="E26" i="1"/>
  <c r="F26" s="1"/>
  <c r="F29" i="6" l="1"/>
  <c r="G29"/>
  <c r="B30"/>
  <c r="E27" i="1"/>
  <c r="F27" s="1"/>
  <c r="G30" i="6" l="1"/>
  <c r="F30"/>
  <c r="B31"/>
  <c r="E28" i="1"/>
  <c r="F28" s="1"/>
  <c r="G31" i="6" l="1"/>
  <c r="F31"/>
  <c r="B32"/>
  <c r="E29" i="1"/>
  <c r="F29" s="1"/>
  <c r="F32" i="6" l="1"/>
  <c r="G32"/>
  <c r="C8" s="1"/>
  <c r="E30" i="1"/>
  <c r="F30" s="1"/>
  <c r="C9" i="6" l="1"/>
  <c r="C10" s="1"/>
  <c r="E31" i="1"/>
  <c r="F31" s="1"/>
  <c r="E32" l="1"/>
  <c r="F32" s="1"/>
  <c r="E33" l="1"/>
  <c r="F33" s="1"/>
  <c r="F34" l="1"/>
  <c r="E34"/>
  <c r="E35" l="1"/>
  <c r="F35" s="1"/>
  <c r="E36" l="1"/>
  <c r="F36" s="1"/>
  <c r="E37" l="1"/>
  <c r="F37" s="1"/>
  <c r="E38" l="1"/>
  <c r="F38" s="1"/>
  <c r="E39" l="1"/>
  <c r="F39" s="1"/>
  <c r="E40" l="1"/>
  <c r="F40" s="1"/>
  <c r="E41" l="1"/>
  <c r="F41" s="1"/>
  <c r="F42" l="1"/>
  <c r="E42"/>
  <c r="E43" l="1"/>
  <c r="F43" s="1"/>
  <c r="E44" l="1"/>
  <c r="F44" s="1"/>
  <c r="E45" l="1"/>
  <c r="F45" s="1"/>
  <c r="F46" l="1"/>
  <c r="E46"/>
  <c r="E47" l="1"/>
  <c r="F47" s="1"/>
  <c r="E48" l="1"/>
  <c r="F48" s="1"/>
  <c r="E49" l="1"/>
  <c r="F49" s="1"/>
  <c r="F50" l="1"/>
  <c r="E50"/>
  <c r="E51" l="1"/>
  <c r="F51" s="1"/>
  <c r="E52" l="1"/>
  <c r="F52" s="1"/>
  <c r="E53" l="1"/>
  <c r="F53" s="1"/>
  <c r="E54" l="1"/>
  <c r="F54" s="1"/>
  <c r="E55" l="1"/>
  <c r="F55" s="1"/>
  <c r="E56" l="1"/>
  <c r="F56" s="1"/>
  <c r="E57" l="1"/>
  <c r="F57" s="1"/>
  <c r="E58" l="1"/>
  <c r="F58" s="1"/>
  <c r="E59" l="1"/>
  <c r="F59" s="1"/>
  <c r="E60" l="1"/>
  <c r="F60" s="1"/>
  <c r="E61" l="1"/>
  <c r="F61" s="1"/>
  <c r="E62" l="1"/>
  <c r="F62" s="1"/>
  <c r="E63" l="1"/>
  <c r="F63" s="1"/>
  <c r="F64" l="1"/>
  <c r="E64"/>
  <c r="E65" l="1"/>
  <c r="F65" s="1"/>
  <c r="E66" l="1"/>
  <c r="F66" s="1"/>
  <c r="E67" l="1"/>
  <c r="F67" s="1"/>
  <c r="E68" l="1"/>
  <c r="F68" s="1"/>
  <c r="E69" l="1"/>
  <c r="F69" s="1"/>
  <c r="F70" l="1"/>
  <c r="E70"/>
  <c r="E71" l="1"/>
  <c r="F71" s="1"/>
  <c r="E72" l="1"/>
  <c r="F72" s="1"/>
  <c r="E73" l="1"/>
  <c r="F73" s="1"/>
  <c r="E74" l="1"/>
  <c r="F74" s="1"/>
  <c r="E75" l="1"/>
  <c r="F75" s="1"/>
  <c r="E76" l="1"/>
  <c r="F76" s="1"/>
  <c r="E77" l="1"/>
  <c r="F77" s="1"/>
  <c r="E78" l="1"/>
  <c r="F78" s="1"/>
  <c r="E79" l="1"/>
  <c r="F79" s="1"/>
  <c r="E80" l="1"/>
  <c r="F80" s="1"/>
  <c r="E81" l="1"/>
  <c r="F81" s="1"/>
  <c r="F82" l="1"/>
  <c r="E82"/>
  <c r="E83" l="1"/>
  <c r="F83" s="1"/>
  <c r="E84" l="1"/>
  <c r="F84" s="1"/>
  <c r="E85" l="1"/>
  <c r="F85" s="1"/>
  <c r="E86" l="1"/>
  <c r="F86" s="1"/>
  <c r="E87" l="1"/>
  <c r="F87" s="1"/>
  <c r="E88" l="1"/>
  <c r="F88" s="1"/>
  <c r="E89" l="1"/>
  <c r="F89" s="1"/>
  <c r="E90" l="1"/>
  <c r="F90" s="1"/>
  <c r="F91" l="1"/>
  <c r="E91"/>
  <c r="E92" l="1"/>
  <c r="F92" s="1"/>
  <c r="E93" l="1"/>
  <c r="F93" s="1"/>
  <c r="E94" l="1"/>
  <c r="F94" s="1"/>
  <c r="E95" l="1"/>
  <c r="F95" s="1"/>
  <c r="E96" l="1"/>
  <c r="F96" s="1"/>
  <c r="E97" l="1"/>
  <c r="F97" s="1"/>
  <c r="E98" l="1"/>
  <c r="F98" s="1"/>
  <c r="E99" l="1"/>
  <c r="F99" s="1"/>
  <c r="E100" l="1"/>
  <c r="F100" s="1"/>
  <c r="E101" l="1"/>
  <c r="F101" s="1"/>
  <c r="F102" l="1"/>
  <c r="E102"/>
  <c r="E103" l="1"/>
  <c r="F103" s="1"/>
  <c r="E104" l="1"/>
  <c r="F104" s="1"/>
  <c r="E105" l="1"/>
  <c r="F105" s="1"/>
  <c r="F106" l="1"/>
  <c r="E106"/>
  <c r="E107" l="1"/>
  <c r="F107" s="1"/>
  <c r="E108" l="1"/>
  <c r="F108" s="1"/>
  <c r="E109" l="1"/>
  <c r="F109" s="1"/>
  <c r="E110" l="1"/>
  <c r="F110" s="1"/>
  <c r="E111" l="1"/>
  <c r="F111" s="1"/>
  <c r="F112" l="1"/>
  <c r="E112"/>
  <c r="E113" l="1"/>
  <c r="F113" s="1"/>
  <c r="E114" l="1"/>
  <c r="F114" s="1"/>
  <c r="E115" l="1"/>
  <c r="F115" s="1"/>
  <c r="F116" l="1"/>
  <c r="E116"/>
  <c r="E117" l="1"/>
  <c r="F117" s="1"/>
  <c r="F118" l="1"/>
  <c r="E118"/>
  <c r="E119" l="1"/>
  <c r="F119" s="1"/>
  <c r="E120" l="1"/>
  <c r="F120" s="1"/>
  <c r="E121" l="1"/>
  <c r="F121" s="1"/>
  <c r="E122" l="1"/>
  <c r="F122" s="1"/>
  <c r="E123" l="1"/>
  <c r="F123" s="1"/>
  <c r="F124" l="1"/>
  <c r="E124"/>
  <c r="E125" l="1"/>
  <c r="F125" s="1"/>
  <c r="F126" l="1"/>
  <c r="E126"/>
  <c r="E127" l="1"/>
  <c r="F127" s="1"/>
  <c r="F128" l="1"/>
  <c r="E128"/>
  <c r="E129" l="1"/>
  <c r="F129" s="1"/>
</calcChain>
</file>

<file path=xl/sharedStrings.xml><?xml version="1.0" encoding="utf-8"?>
<sst xmlns="http://schemas.openxmlformats.org/spreadsheetml/2006/main" count="171" uniqueCount="68">
  <si>
    <t>Taux</t>
  </si>
  <si>
    <t>Nominal</t>
  </si>
  <si>
    <t>Mensualité</t>
  </si>
  <si>
    <t>Annuité</t>
  </si>
  <si>
    <t>Maturité (mois)</t>
  </si>
  <si>
    <t>Intérets</t>
  </si>
  <si>
    <t>Capital Restant Du</t>
  </si>
  <si>
    <t>Facteur d'actualisation</t>
  </si>
  <si>
    <t>EURIBOR</t>
  </si>
  <si>
    <t>ACT360</t>
  </si>
  <si>
    <t>30/360</t>
  </si>
  <si>
    <t>DF</t>
  </si>
  <si>
    <t>Fix</t>
  </si>
  <si>
    <t>Taux Zero</t>
  </si>
  <si>
    <t>Jambe Variable</t>
  </si>
  <si>
    <t>Jambe Fixe</t>
  </si>
  <si>
    <t xml:space="preserve">Nominal </t>
  </si>
  <si>
    <t>StartDate</t>
  </si>
  <si>
    <t>EndDate</t>
  </si>
  <si>
    <t>NPV</t>
  </si>
  <si>
    <t>Delta</t>
  </si>
  <si>
    <t>DFDisc</t>
  </si>
  <si>
    <t>Swap Fwd</t>
  </si>
  <si>
    <t>A360</t>
  </si>
  <si>
    <t>Duration</t>
  </si>
  <si>
    <t>NPV Swap</t>
  </si>
  <si>
    <t>NPV Swaption</t>
  </si>
  <si>
    <t>Vol</t>
  </si>
  <si>
    <t>T</t>
  </si>
  <si>
    <t>K</t>
  </si>
  <si>
    <t>cp</t>
  </si>
  <si>
    <t>Normal</t>
  </si>
  <si>
    <t>LogNormal</t>
  </si>
  <si>
    <t>Taux zéro sans risque</t>
  </si>
  <si>
    <t>Spread de credit</t>
  </si>
  <si>
    <t>IT</t>
  </si>
  <si>
    <t>Proba Survi</t>
  </si>
  <si>
    <t>lambda</t>
  </si>
  <si>
    <t>Recovery</t>
  </si>
  <si>
    <t>ProbaDefaut</t>
  </si>
  <si>
    <t>Jambe de Prime</t>
  </si>
  <si>
    <t>Jambe de Protection</t>
  </si>
  <si>
    <t>Prime</t>
  </si>
  <si>
    <t>NPV CDS</t>
  </si>
  <si>
    <t>Vol Swaption</t>
  </si>
  <si>
    <t>Swap</t>
  </si>
  <si>
    <t>Taux Fixe</t>
  </si>
  <si>
    <t>LN</t>
  </si>
  <si>
    <t>N</t>
  </si>
  <si>
    <t>P Def Cpty</t>
  </si>
  <si>
    <t>P Def Bank</t>
  </si>
  <si>
    <t>CVA</t>
  </si>
  <si>
    <t>DVA</t>
  </si>
  <si>
    <t>Horizon</t>
  </si>
  <si>
    <t>Expo Cpty LN</t>
  </si>
  <si>
    <t>Expo Bank LN</t>
  </si>
  <si>
    <t>Expo Cpty N</t>
  </si>
  <si>
    <t>Expo Bank N</t>
  </si>
  <si>
    <t>UF</t>
  </si>
  <si>
    <t>Run</t>
  </si>
  <si>
    <t>EONIA</t>
  </si>
  <si>
    <t>Credit Bank</t>
  </si>
  <si>
    <t>Credit Cpty</t>
  </si>
  <si>
    <t>Diff</t>
  </si>
  <si>
    <t>Strike</t>
  </si>
  <si>
    <t>Taux Zero Disc</t>
  </si>
  <si>
    <t>T Bank</t>
  </si>
  <si>
    <t>T Cpty</t>
  </si>
</sst>
</file>

<file path=xl/styles.xml><?xml version="1.0" encoding="utf-8"?>
<styleSheet xmlns="http://schemas.openxmlformats.org/spreadsheetml/2006/main">
  <numFmts count="7">
    <numFmt numFmtId="43" formatCode="_-* #,##0.00\ _€_-;\-* #,##0.00\ _€_-;_-* &quot;-&quot;??\ _€_-;_-@_-"/>
    <numFmt numFmtId="164" formatCode="0.000%"/>
    <numFmt numFmtId="165" formatCode="0.0000%"/>
    <numFmt numFmtId="166" formatCode="_-* #,##0.0\ _€_-;\-* #,##0.0\ _€_-;_-* &quot;-&quot;??\ _€_-;_-@_-"/>
    <numFmt numFmtId="167" formatCode="_-* #,##0\ _€_-;\-* #,##0\ _€_-;_-* &quot;-&quot;??\ _€_-;_-@_-"/>
    <numFmt numFmtId="168" formatCode="_-* #,##0.000\ _€_-;\-* #,##0.000\ _€_-;_-* &quot;-&quot;???\ _€_-;_-@_-"/>
    <numFmt numFmtId="169" formatCode="0.0000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9" fontId="0" fillId="0" borderId="0" xfId="0" applyNumberFormat="1"/>
    <xf numFmtId="43" fontId="0" fillId="0" borderId="0" xfId="1" applyFont="1"/>
    <xf numFmtId="0" fontId="2" fillId="0" borderId="0" xfId="0" applyFont="1"/>
    <xf numFmtId="43" fontId="0" fillId="0" borderId="0" xfId="0" applyNumberFormat="1"/>
    <xf numFmtId="10" fontId="0" fillId="0" borderId="0" xfId="2" applyNumberFormat="1" applyFont="1"/>
    <xf numFmtId="165" fontId="0" fillId="0" borderId="0" xfId="2" applyNumberFormat="1" applyFont="1"/>
    <xf numFmtId="10" fontId="0" fillId="0" borderId="0" xfId="0" applyNumberFormat="1"/>
    <xf numFmtId="164" fontId="0" fillId="0" borderId="0" xfId="0" applyNumberFormat="1"/>
    <xf numFmtId="167" fontId="0" fillId="0" borderId="0" xfId="1" applyNumberFormat="1" applyFont="1"/>
    <xf numFmtId="167" fontId="0" fillId="0" borderId="0" xfId="0" applyNumberFormat="1"/>
    <xf numFmtId="169" fontId="0" fillId="0" borderId="0" xfId="0" applyNumberFormat="1"/>
    <xf numFmtId="2" fontId="0" fillId="0" borderId="0" xfId="0" applyNumberFormat="1"/>
    <xf numFmtId="0" fontId="0" fillId="0" borderId="1" xfId="0" applyBorder="1"/>
    <xf numFmtId="0" fontId="2" fillId="0" borderId="1" xfId="0" applyFont="1" applyBorder="1"/>
    <xf numFmtId="9" fontId="0" fillId="0" borderId="1" xfId="0" applyNumberFormat="1" applyBorder="1"/>
    <xf numFmtId="166" fontId="0" fillId="0" borderId="1" xfId="1" applyNumberFormat="1" applyFont="1" applyBorder="1"/>
    <xf numFmtId="166" fontId="0" fillId="0" borderId="1" xfId="0" applyNumberFormat="1" applyBorder="1"/>
    <xf numFmtId="165" fontId="0" fillId="0" borderId="0" xfId="0" applyNumberFormat="1"/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166" fontId="0" fillId="0" borderId="0" xfId="0" applyNumberFormat="1" applyBorder="1"/>
    <xf numFmtId="167" fontId="3" fillId="0" borderId="0" xfId="0" applyNumberFormat="1" applyFont="1"/>
    <xf numFmtId="43" fontId="3" fillId="0" borderId="0" xfId="0" applyNumberFormat="1" applyFont="1"/>
    <xf numFmtId="167" fontId="3" fillId="0" borderId="1" xfId="1" applyNumberFormat="1" applyFont="1" applyBorder="1"/>
    <xf numFmtId="10" fontId="3" fillId="0" borderId="0" xfId="2" applyNumberFormat="1" applyFont="1"/>
    <xf numFmtId="43" fontId="3" fillId="0" borderId="0" xfId="1" applyFont="1"/>
    <xf numFmtId="9" fontId="3" fillId="0" borderId="0" xfId="0" applyNumberFormat="1" applyFont="1"/>
    <xf numFmtId="168" fontId="3" fillId="0" borderId="0" xfId="0" applyNumberFormat="1" applyFont="1"/>
    <xf numFmtId="167" fontId="3" fillId="0" borderId="0" xfId="1" applyNumberFormat="1" applyFont="1"/>
    <xf numFmtId="0" fontId="3" fillId="0" borderId="0" xfId="0" applyFont="1"/>
    <xf numFmtId="0" fontId="2" fillId="0" borderId="1" xfId="0" applyFont="1" applyBorder="1" applyAlignment="1">
      <alignment horizontal="center"/>
    </xf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 Normal vs Lognormal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Swaption!$G$1</c:f>
              <c:strCache>
                <c:ptCount val="1"/>
                <c:pt idx="0">
                  <c:v>Vol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Swaption!$F$2:$F$12</c:f>
              <c:numCache>
                <c:formatCode>0.00%</c:formatCode>
                <c:ptCount val="11"/>
                <c:pt idx="0">
                  <c:v>0.01</c:v>
                </c:pt>
                <c:pt idx="1">
                  <c:v>1.0999999999999999E-2</c:v>
                </c:pt>
                <c:pt idx="2">
                  <c:v>1.2E-2</c:v>
                </c:pt>
                <c:pt idx="3">
                  <c:v>1.3000000000000001E-2</c:v>
                </c:pt>
                <c:pt idx="4">
                  <c:v>1.4000000000000002E-2</c:v>
                </c:pt>
                <c:pt idx="5">
                  <c:v>1.5000000000000003E-2</c:v>
                </c:pt>
                <c:pt idx="6">
                  <c:v>1.6000000000000004E-2</c:v>
                </c:pt>
                <c:pt idx="7">
                  <c:v>1.7000000000000005E-2</c:v>
                </c:pt>
                <c:pt idx="8">
                  <c:v>1.8000000000000006E-2</c:v>
                </c:pt>
                <c:pt idx="9">
                  <c:v>1.9000000000000006E-2</c:v>
                </c:pt>
                <c:pt idx="10">
                  <c:v>2.0000000000000007E-2</c:v>
                </c:pt>
              </c:numCache>
            </c:numRef>
          </c:xVal>
          <c:yVal>
            <c:numRef>
              <c:f>Swaption!$G$2:$G$12</c:f>
              <c:numCache>
                <c:formatCode>0%</c:formatCode>
                <c:ptCount val="11"/>
                <c:pt idx="0">
                  <c:v>0.509973661438336</c:v>
                </c:pt>
                <c:pt idx="1">
                  <c:v>0.48519049433508582</c:v>
                </c:pt>
                <c:pt idx="2">
                  <c:v>0.46347914845149418</c:v>
                </c:pt>
                <c:pt idx="3">
                  <c:v>0.44424305133934489</c:v>
                </c:pt>
                <c:pt idx="4">
                  <c:v>0.42703811637158906</c:v>
                </c:pt>
                <c:pt idx="5">
                  <c:v>0.41152564862289109</c:v>
                </c:pt>
                <c:pt idx="6">
                  <c:v>0.39744197818691129</c:v>
                </c:pt>
                <c:pt idx="7">
                  <c:v>0.38457820095807038</c:v>
                </c:pt>
                <c:pt idx="8">
                  <c:v>0.37276626199457741</c:v>
                </c:pt>
                <c:pt idx="9">
                  <c:v>0.36186915280840842</c:v>
                </c:pt>
                <c:pt idx="10">
                  <c:v>0.35177385318269316</c:v>
                </c:pt>
              </c:numCache>
            </c:numRef>
          </c:yVal>
          <c:smooth val="1"/>
        </c:ser>
        <c:axId val="87950464"/>
        <c:axId val="87952768"/>
      </c:scatterChart>
      <c:valAx>
        <c:axId val="87950464"/>
        <c:scaling>
          <c:orientation val="minMax"/>
          <c:max val="2.1000000000000008E-2"/>
          <c:min val="9.0000000000000028E-3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layout/>
        </c:title>
        <c:numFmt formatCode="0.00%" sourceLinked="1"/>
        <c:tickLblPos val="nextTo"/>
        <c:crossAx val="87952768"/>
        <c:crosses val="autoZero"/>
        <c:crossBetween val="midCat"/>
      </c:valAx>
      <c:valAx>
        <c:axId val="87952768"/>
        <c:scaling>
          <c:orientation val="minMax"/>
          <c:max val="0.6000000000000002"/>
          <c:min val="0.2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fr-FR"/>
                  <a:t>Vol</a:t>
                </a:r>
              </a:p>
            </c:rich>
          </c:tx>
          <c:layout/>
        </c:title>
        <c:numFmt formatCode="0%" sourceLinked="1"/>
        <c:tickLblPos val="nextTo"/>
        <c:crossAx val="87950464"/>
        <c:crosses val="autoZero"/>
        <c:crossBetween val="midCat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0.16840507436570429"/>
          <c:y val="7.4548702245552642E-2"/>
          <c:w val="0.49031714785651792"/>
          <c:h val="0.89719889180519108"/>
        </c:manualLayout>
      </c:layout>
      <c:scatterChart>
        <c:scatterStyle val="smoothMarker"/>
        <c:ser>
          <c:idx val="0"/>
          <c:order val="0"/>
          <c:tx>
            <c:strRef>
              <c:f>'CVA-DVA'!$J$18</c:f>
              <c:strCache>
                <c:ptCount val="1"/>
                <c:pt idx="0">
                  <c:v>Expo Cpty LN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'CVA-DVA'!$J$19:$J$27</c:f>
              <c:numCache>
                <c:formatCode>_-* #,##0\ _€_-;\-* #,##0\ _€_-;_-* "-"??\ _€_-;_-@_-</c:formatCode>
                <c:ptCount val="9"/>
                <c:pt idx="0">
                  <c:v>-4197576.3618479138</c:v>
                </c:pt>
                <c:pt idx="1">
                  <c:v>-3593966.1671474138</c:v>
                </c:pt>
                <c:pt idx="2">
                  <c:v>-3108525.6421865583</c:v>
                </c:pt>
                <c:pt idx="3">
                  <c:v>-2682180.8763874443</c:v>
                </c:pt>
                <c:pt idx="4">
                  <c:v>-2283899.3993885531</c:v>
                </c:pt>
                <c:pt idx="5">
                  <c:v>-1893211.3347352804</c:v>
                </c:pt>
                <c:pt idx="6">
                  <c:v>-1492402.1347526368</c:v>
                </c:pt>
                <c:pt idx="7">
                  <c:v>-1061709.3760840455</c:v>
                </c:pt>
                <c:pt idx="8">
                  <c:v>-574543.55491234362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'CVA-DVA'!$K$18</c:f>
              <c:strCache>
                <c:ptCount val="1"/>
                <c:pt idx="0">
                  <c:v>Expo Bank LN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'CVA-DVA'!$K$19:$K$27</c:f>
              <c:numCache>
                <c:formatCode>_-* #,##0.00\ _€_-;\-* #,##0.00\ _€_-;_-* "-"??\ _€_-;_-@_-</c:formatCode>
                <c:ptCount val="9"/>
                <c:pt idx="0">
                  <c:v>39673.543499947424</c:v>
                </c:pt>
                <c:pt idx="1">
                  <c:v>157000.16458753849</c:v>
                </c:pt>
                <c:pt idx="2">
                  <c:v>260550.32417135991</c:v>
                </c:pt>
                <c:pt idx="3">
                  <c:v>327169.30113999319</c:v>
                </c:pt>
                <c:pt idx="4">
                  <c:v>354585.94213764049</c:v>
                </c:pt>
                <c:pt idx="5">
                  <c:v>345079.3408844244</c:v>
                </c:pt>
                <c:pt idx="6">
                  <c:v>301842.34061335766</c:v>
                </c:pt>
                <c:pt idx="7">
                  <c:v>228040.16377875122</c:v>
                </c:pt>
                <c:pt idx="8">
                  <c:v>126566.03869464819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'CVA-DVA'!$L$18</c:f>
              <c:strCache>
                <c:ptCount val="1"/>
                <c:pt idx="0">
                  <c:v>Expo Cpty 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'CVA-DVA'!$L$19:$L$27</c:f>
              <c:numCache>
                <c:formatCode>_-* #,##0\ _€_-;\-* #,##0\ _€_-;_-* "-"??\ _€_-;_-@_-</c:formatCode>
                <c:ptCount val="9"/>
                <c:pt idx="0">
                  <c:v>-4478508.5714900084</c:v>
                </c:pt>
                <c:pt idx="1">
                  <c:v>-4170970.995184646</c:v>
                </c:pt>
                <c:pt idx="2">
                  <c:v>-3859811.5436618123</c:v>
                </c:pt>
                <c:pt idx="3">
                  <c:v>-3511864.0027019875</c:v>
                </c:pt>
                <c:pt idx="4">
                  <c:v>-3104304.2340879105</c:v>
                </c:pt>
                <c:pt idx="5">
                  <c:v>-2618927.6988908849</c:v>
                </c:pt>
                <c:pt idx="6">
                  <c:v>-2049893.1620606473</c:v>
                </c:pt>
                <c:pt idx="7">
                  <c:v>-1413291.8127904302</c:v>
                </c:pt>
                <c:pt idx="8">
                  <c:v>-728001.74709598022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'CVA-DVA'!$M$18</c:f>
              <c:strCache>
                <c:ptCount val="1"/>
                <c:pt idx="0">
                  <c:v>Expo Bank N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'CVA-DVA'!$I$19:$I$27</c:f>
              <c:numCache>
                <c:formatCode>_-* #,##0.00\ _€_-;\-* #,##0.00\ _€_-;_-* "-"??\ _€_-;_-@_-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'CVA-DVA'!$M$19:$M$27</c:f>
              <c:numCache>
                <c:formatCode>_-* #,##0.00\ _€_-;\-* #,##0.00\ _€_-;_-* "-"??\ _€_-;_-@_-</c:formatCode>
                <c:ptCount val="9"/>
                <c:pt idx="0">
                  <c:v>171128.86192725535</c:v>
                </c:pt>
                <c:pt idx="1">
                  <c:v>442157.62018655101</c:v>
                </c:pt>
                <c:pt idx="2">
                  <c:v>629820.42371696711</c:v>
                </c:pt>
                <c:pt idx="3">
                  <c:v>732057.97770492174</c:v>
                </c:pt>
                <c:pt idx="4">
                  <c:v>759023.77327182749</c:v>
                </c:pt>
                <c:pt idx="5">
                  <c:v>718408.95012127224</c:v>
                </c:pt>
                <c:pt idx="6">
                  <c:v>616369.74997600354</c:v>
                </c:pt>
                <c:pt idx="7">
                  <c:v>459221.20788039779</c:v>
                </c:pt>
                <c:pt idx="8">
                  <c:v>252394.92224156889</c:v>
                </c:pt>
              </c:numCache>
            </c:numRef>
          </c:yVal>
          <c:smooth val="1"/>
        </c:ser>
        <c:axId val="68384640"/>
        <c:axId val="68386176"/>
      </c:scatterChart>
      <c:valAx>
        <c:axId val="68384640"/>
        <c:scaling>
          <c:orientation val="minMax"/>
        </c:scaling>
        <c:axPos val="b"/>
        <c:numFmt formatCode="_-* #,##0.00\ _€_-;\-* #,##0.00\ _€_-;_-* &quot;-&quot;??\ _€_-;_-@_-" sourceLinked="1"/>
        <c:tickLblPos val="nextTo"/>
        <c:crossAx val="68386176"/>
        <c:crosses val="autoZero"/>
        <c:crossBetween val="midCat"/>
      </c:valAx>
      <c:valAx>
        <c:axId val="68386176"/>
        <c:scaling>
          <c:orientation val="minMax"/>
        </c:scaling>
        <c:axPos val="l"/>
        <c:majorGridlines/>
        <c:numFmt formatCode="_-* #,##0\ _€_-;\-* #,##0\ _€_-;_-* &quot;-&quot;??\ _€_-;_-@_-" sourceLinked="1"/>
        <c:tickLblPos val="nextTo"/>
        <c:crossAx val="683846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</xdr:colOff>
      <xdr:row>1</xdr:row>
      <xdr:rowOff>180975</xdr:rowOff>
    </xdr:from>
    <xdr:to>
      <xdr:col>16</xdr:col>
      <xdr:colOff>85724</xdr:colOff>
      <xdr:row>15</xdr:row>
      <xdr:rowOff>95250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531495</xdr:colOff>
      <xdr:row>23</xdr:row>
      <xdr:rowOff>22860</xdr:rowOff>
    </xdr:from>
    <xdr:to>
      <xdr:col>16</xdr:col>
      <xdr:colOff>123825</xdr:colOff>
      <xdr:row>37</xdr:row>
      <xdr:rowOff>91440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C2:F129"/>
  <sheetViews>
    <sheetView workbookViewId="0">
      <selection activeCell="G12" sqref="G12"/>
    </sheetView>
  </sheetViews>
  <sheetFormatPr baseColWidth="10" defaultRowHeight="14.4"/>
  <cols>
    <col min="3" max="3" width="14.88671875" bestFit="1" customWidth="1"/>
    <col min="4" max="4" width="21" bestFit="1" customWidth="1"/>
    <col min="6" max="6" width="17.33203125" bestFit="1" customWidth="1"/>
  </cols>
  <sheetData>
    <row r="2" spans="3:6">
      <c r="C2" s="3" t="s">
        <v>1</v>
      </c>
      <c r="D2" s="2">
        <v>120000</v>
      </c>
    </row>
    <row r="3" spans="3:6">
      <c r="C3" s="3" t="s">
        <v>0</v>
      </c>
      <c r="D3" s="1">
        <v>0.01</v>
      </c>
    </row>
    <row r="4" spans="3:6">
      <c r="C4" s="3" t="s">
        <v>4</v>
      </c>
      <c r="D4">
        <v>120</v>
      </c>
    </row>
    <row r="5" spans="3:6">
      <c r="C5" s="3" t="s">
        <v>2</v>
      </c>
      <c r="D5" s="23">
        <f>D2/E6</f>
        <v>1051.2494564418284</v>
      </c>
    </row>
    <row r="6" spans="3:6">
      <c r="C6" s="3" t="s">
        <v>3</v>
      </c>
      <c r="D6" s="30">
        <f>(D10-D10^(D4+1))/(1-D10)</f>
        <v>114.1498806631154</v>
      </c>
      <c r="E6" s="30">
        <f>SUM(D10:D129)</f>
        <v>114.14988066311574</v>
      </c>
    </row>
    <row r="8" spans="3:6">
      <c r="D8" s="3" t="s">
        <v>7</v>
      </c>
      <c r="E8" s="3" t="s">
        <v>5</v>
      </c>
      <c r="F8" s="3" t="s">
        <v>6</v>
      </c>
    </row>
    <row r="9" spans="3:6">
      <c r="E9" s="30"/>
      <c r="F9" s="23">
        <f>D2</f>
        <v>120000</v>
      </c>
    </row>
    <row r="10" spans="3:6">
      <c r="C10">
        <v>1</v>
      </c>
      <c r="D10">
        <f>1/(1+$D$3/12)</f>
        <v>0.99916736053288935</v>
      </c>
      <c r="E10" s="23">
        <f>F9*$D$3/12</f>
        <v>100</v>
      </c>
      <c r="F10" s="23">
        <f>F9+E10-$D$5</f>
        <v>119048.75054355817</v>
      </c>
    </row>
    <row r="11" spans="3:6">
      <c r="C11">
        <f>C10+1</f>
        <v>2</v>
      </c>
      <c r="D11">
        <f t="shared" ref="D11:D42" si="0">D10*$D$10</f>
        <v>0.99833541435426087</v>
      </c>
      <c r="E11" s="23">
        <f t="shared" ref="E11:E74" si="1">F10*$D$3/12</f>
        <v>99.207292119631802</v>
      </c>
      <c r="F11" s="23">
        <f t="shared" ref="F11:F74" si="2">F10+E11-$D$5</f>
        <v>118096.70837923598</v>
      </c>
    </row>
    <row r="12" spans="3:6">
      <c r="C12">
        <f t="shared" ref="C12:C75" si="3">C11+1</f>
        <v>3</v>
      </c>
      <c r="D12">
        <f t="shared" si="0"/>
        <v>0.99750416088685523</v>
      </c>
      <c r="E12" s="23">
        <f t="shared" si="1"/>
        <v>98.413923649363312</v>
      </c>
      <c r="F12" s="23">
        <f t="shared" si="2"/>
        <v>117143.87284644351</v>
      </c>
    </row>
    <row r="13" spans="3:6">
      <c r="C13">
        <f t="shared" si="3"/>
        <v>4</v>
      </c>
      <c r="D13">
        <f t="shared" si="0"/>
        <v>0.99667359955389379</v>
      </c>
      <c r="E13" s="23">
        <f t="shared" si="1"/>
        <v>97.619894038702924</v>
      </c>
      <c r="F13" s="23">
        <f t="shared" si="2"/>
        <v>116190.24328404038</v>
      </c>
    </row>
    <row r="14" spans="3:6">
      <c r="C14">
        <f t="shared" si="3"/>
        <v>5</v>
      </c>
      <c r="D14">
        <f t="shared" si="0"/>
        <v>0.99584372977907798</v>
      </c>
      <c r="E14" s="23">
        <f t="shared" si="1"/>
        <v>96.825202736700319</v>
      </c>
      <c r="F14" s="23">
        <f t="shared" si="2"/>
        <v>115235.81903033525</v>
      </c>
    </row>
    <row r="15" spans="3:6">
      <c r="C15">
        <f t="shared" si="3"/>
        <v>6</v>
      </c>
      <c r="D15">
        <f t="shared" si="0"/>
        <v>0.9950145509865892</v>
      </c>
      <c r="E15" s="23">
        <f t="shared" si="1"/>
        <v>96.029849191946042</v>
      </c>
      <c r="F15" s="23">
        <f t="shared" si="2"/>
        <v>114280.59942308537</v>
      </c>
    </row>
    <row r="16" spans="3:6">
      <c r="C16">
        <f t="shared" si="3"/>
        <v>7</v>
      </c>
      <c r="D16">
        <f t="shared" si="0"/>
        <v>0.99418606260108833</v>
      </c>
      <c r="E16" s="23">
        <f t="shared" si="1"/>
        <v>95.23383285257114</v>
      </c>
      <c r="F16" s="23">
        <f t="shared" si="2"/>
        <v>113324.5837994961</v>
      </c>
    </row>
    <row r="17" spans="3:6">
      <c r="C17">
        <f t="shared" si="3"/>
        <v>8</v>
      </c>
      <c r="D17">
        <f t="shared" si="0"/>
        <v>0.99335826404771532</v>
      </c>
      <c r="E17" s="23">
        <f t="shared" si="1"/>
        <v>94.437153166246745</v>
      </c>
      <c r="F17" s="23">
        <f t="shared" si="2"/>
        <v>112367.77149622052</v>
      </c>
    </row>
    <row r="18" spans="3:6">
      <c r="C18">
        <f t="shared" si="3"/>
        <v>9</v>
      </c>
      <c r="D18">
        <f t="shared" si="0"/>
        <v>0.99253115475208864</v>
      </c>
      <c r="E18" s="23">
        <f t="shared" si="1"/>
        <v>93.63980958018378</v>
      </c>
      <c r="F18" s="23">
        <f t="shared" si="2"/>
        <v>111410.16184935888</v>
      </c>
    </row>
    <row r="19" spans="3:6">
      <c r="C19">
        <f t="shared" si="3"/>
        <v>10</v>
      </c>
      <c r="D19">
        <f t="shared" si="0"/>
        <v>0.99170473414030513</v>
      </c>
      <c r="E19" s="23">
        <f t="shared" si="1"/>
        <v>92.841801541132398</v>
      </c>
      <c r="F19" s="23">
        <f t="shared" si="2"/>
        <v>110451.75419445818</v>
      </c>
    </row>
    <row r="20" spans="3:6">
      <c r="C20">
        <f t="shared" si="3"/>
        <v>11</v>
      </c>
      <c r="D20">
        <f t="shared" si="0"/>
        <v>0.99087900163893949</v>
      </c>
      <c r="E20" s="23">
        <f t="shared" si="1"/>
        <v>92.043128495381822</v>
      </c>
      <c r="F20" s="23">
        <f t="shared" si="2"/>
        <v>109492.54786651173</v>
      </c>
    </row>
    <row r="21" spans="3:6">
      <c r="C21">
        <f t="shared" si="3"/>
        <v>12</v>
      </c>
      <c r="D21">
        <f t="shared" si="0"/>
        <v>0.9900539566750437</v>
      </c>
      <c r="E21" s="23">
        <f t="shared" si="1"/>
        <v>91.243789888759764</v>
      </c>
      <c r="F21" s="23">
        <f t="shared" si="2"/>
        <v>108532.54219995865</v>
      </c>
    </row>
    <row r="22" spans="3:6">
      <c r="C22">
        <f t="shared" si="3"/>
        <v>13</v>
      </c>
      <c r="D22">
        <f t="shared" si="0"/>
        <v>0.98922959867614702</v>
      </c>
      <c r="E22" s="23">
        <f t="shared" si="1"/>
        <v>90.44378516663221</v>
      </c>
      <c r="F22" s="23">
        <f t="shared" si="2"/>
        <v>107571.73652868345</v>
      </c>
    </row>
    <row r="23" spans="3:6">
      <c r="C23">
        <f t="shared" si="3"/>
        <v>14</v>
      </c>
      <c r="D23">
        <f t="shared" si="0"/>
        <v>0.98840592707025521</v>
      </c>
      <c r="E23" s="23">
        <f t="shared" si="1"/>
        <v>89.643113773902883</v>
      </c>
      <c r="F23" s="23">
        <f t="shared" si="2"/>
        <v>106610.13018601552</v>
      </c>
    </row>
    <row r="24" spans="3:6">
      <c r="C24">
        <f t="shared" si="3"/>
        <v>15</v>
      </c>
      <c r="D24">
        <f t="shared" si="0"/>
        <v>0.98758294128585045</v>
      </c>
      <c r="E24" s="23">
        <f t="shared" si="1"/>
        <v>88.84177515501294</v>
      </c>
      <c r="F24" s="23">
        <f t="shared" si="2"/>
        <v>105647.72250472871</v>
      </c>
    </row>
    <row r="25" spans="3:6">
      <c r="C25">
        <f t="shared" si="3"/>
        <v>16</v>
      </c>
      <c r="D25">
        <f t="shared" si="0"/>
        <v>0.98676064075189063</v>
      </c>
      <c r="E25" s="23">
        <f t="shared" si="1"/>
        <v>88.039768753940578</v>
      </c>
      <c r="F25" s="23">
        <f t="shared" si="2"/>
        <v>104684.51281704081</v>
      </c>
    </row>
    <row r="26" spans="3:6">
      <c r="C26">
        <f t="shared" si="3"/>
        <v>17</v>
      </c>
      <c r="D26">
        <f t="shared" si="0"/>
        <v>0.98593902489780916</v>
      </c>
      <c r="E26" s="23">
        <f t="shared" si="1"/>
        <v>87.237094014200679</v>
      </c>
      <c r="F26" s="23">
        <f t="shared" si="2"/>
        <v>103720.50045461318</v>
      </c>
    </row>
    <row r="27" spans="3:6">
      <c r="C27">
        <f t="shared" si="3"/>
        <v>18</v>
      </c>
      <c r="D27">
        <f t="shared" si="0"/>
        <v>0.98511809315351462</v>
      </c>
      <c r="E27" s="23">
        <f t="shared" si="1"/>
        <v>86.433750378844323</v>
      </c>
      <c r="F27" s="23">
        <f t="shared" si="2"/>
        <v>102755.68474855019</v>
      </c>
    </row>
    <row r="28" spans="3:6">
      <c r="C28">
        <f t="shared" si="3"/>
        <v>19</v>
      </c>
      <c r="D28">
        <f t="shared" si="0"/>
        <v>0.98429784494939021</v>
      </c>
      <c r="E28" s="23">
        <f t="shared" si="1"/>
        <v>85.629737290458493</v>
      </c>
      <c r="F28" s="23">
        <f t="shared" si="2"/>
        <v>101790.06502939881</v>
      </c>
    </row>
    <row r="29" spans="3:6">
      <c r="C29">
        <f t="shared" si="3"/>
        <v>20</v>
      </c>
      <c r="D29">
        <f t="shared" si="0"/>
        <v>0.98347827971629342</v>
      </c>
      <c r="E29" s="23">
        <f t="shared" si="1"/>
        <v>84.825054191165677</v>
      </c>
      <c r="F29" s="23">
        <f t="shared" si="2"/>
        <v>100823.64062714815</v>
      </c>
    </row>
    <row r="30" spans="3:6">
      <c r="C30">
        <f t="shared" si="3"/>
        <v>21</v>
      </c>
      <c r="D30">
        <f t="shared" si="0"/>
        <v>0.98265939688555559</v>
      </c>
      <c r="E30" s="23">
        <f t="shared" si="1"/>
        <v>84.019700522623467</v>
      </c>
      <c r="F30" s="23">
        <f t="shared" si="2"/>
        <v>99856.410871228945</v>
      </c>
    </row>
    <row r="31" spans="3:6">
      <c r="C31">
        <f t="shared" si="3"/>
        <v>22</v>
      </c>
      <c r="D31">
        <f t="shared" si="0"/>
        <v>0.98184119588898155</v>
      </c>
      <c r="E31" s="23">
        <f t="shared" si="1"/>
        <v>83.213675726024121</v>
      </c>
      <c r="F31" s="23">
        <f t="shared" si="2"/>
        <v>98888.375090513146</v>
      </c>
    </row>
    <row r="32" spans="3:6">
      <c r="C32">
        <f t="shared" si="3"/>
        <v>23</v>
      </c>
      <c r="D32">
        <f t="shared" si="0"/>
        <v>0.98102367615884922</v>
      </c>
      <c r="E32" s="23">
        <f t="shared" si="1"/>
        <v>82.406979242094295</v>
      </c>
      <c r="F32" s="23">
        <f t="shared" si="2"/>
        <v>97919.532613313408</v>
      </c>
    </row>
    <row r="33" spans="3:6">
      <c r="C33">
        <f t="shared" si="3"/>
        <v>24</v>
      </c>
      <c r="D33">
        <f t="shared" si="0"/>
        <v>0.98020683712790935</v>
      </c>
      <c r="E33" s="23">
        <f t="shared" si="1"/>
        <v>81.599610511094511</v>
      </c>
      <c r="F33" s="23">
        <f t="shared" si="2"/>
        <v>96949.882767382675</v>
      </c>
    </row>
    <row r="34" spans="3:6">
      <c r="C34">
        <f t="shared" si="3"/>
        <v>25</v>
      </c>
      <c r="D34">
        <f t="shared" si="0"/>
        <v>0.97939067822938497</v>
      </c>
      <c r="E34" s="23">
        <f t="shared" si="1"/>
        <v>80.791568972818894</v>
      </c>
      <c r="F34" s="23">
        <f t="shared" si="2"/>
        <v>95979.424879913669</v>
      </c>
    </row>
    <row r="35" spans="3:6">
      <c r="C35">
        <f t="shared" si="3"/>
        <v>26</v>
      </c>
      <c r="D35">
        <f t="shared" si="0"/>
        <v>0.97857519889697087</v>
      </c>
      <c r="E35" s="23">
        <f t="shared" si="1"/>
        <v>79.982854066594726</v>
      </c>
      <c r="F35" s="23">
        <f t="shared" si="2"/>
        <v>95008.15827753843</v>
      </c>
    </row>
    <row r="36" spans="3:6">
      <c r="C36">
        <f t="shared" si="3"/>
        <v>27</v>
      </c>
      <c r="D36">
        <f t="shared" si="0"/>
        <v>0.97776039856483354</v>
      </c>
      <c r="E36" s="23">
        <f t="shared" si="1"/>
        <v>79.173465231282023</v>
      </c>
      <c r="F36" s="23">
        <f t="shared" si="2"/>
        <v>94036.082286327888</v>
      </c>
    </row>
    <row r="37" spans="3:6">
      <c r="C37">
        <f t="shared" si="3"/>
        <v>28</v>
      </c>
      <c r="D37">
        <f t="shared" si="0"/>
        <v>0.97694627666761058</v>
      </c>
      <c r="E37" s="23">
        <f t="shared" si="1"/>
        <v>78.36340190527325</v>
      </c>
      <c r="F37" s="23">
        <f t="shared" si="2"/>
        <v>93063.196231791328</v>
      </c>
    </row>
    <row r="38" spans="3:6">
      <c r="C38">
        <f t="shared" si="3"/>
        <v>29</v>
      </c>
      <c r="D38">
        <f t="shared" si="0"/>
        <v>0.97613283264041029</v>
      </c>
      <c r="E38" s="23">
        <f t="shared" si="1"/>
        <v>77.552663526492779</v>
      </c>
      <c r="F38" s="23">
        <f t="shared" si="2"/>
        <v>92089.499438875995</v>
      </c>
    </row>
    <row r="39" spans="3:6">
      <c r="C39">
        <f t="shared" si="3"/>
        <v>30</v>
      </c>
      <c r="D39">
        <f t="shared" si="0"/>
        <v>0.97532006591881137</v>
      </c>
      <c r="E39" s="23">
        <f t="shared" si="1"/>
        <v>76.741249532396665</v>
      </c>
      <c r="F39" s="23">
        <f t="shared" si="2"/>
        <v>91114.99123196656</v>
      </c>
    </row>
    <row r="40" spans="3:6">
      <c r="C40">
        <f t="shared" si="3"/>
        <v>31</v>
      </c>
      <c r="D40">
        <f t="shared" si="0"/>
        <v>0.9745079759388624</v>
      </c>
      <c r="E40" s="23">
        <f t="shared" si="1"/>
        <v>75.929159359972132</v>
      </c>
      <c r="F40" s="23">
        <f t="shared" si="2"/>
        <v>90139.670934884707</v>
      </c>
    </row>
    <row r="41" spans="3:6">
      <c r="C41">
        <f t="shared" si="3"/>
        <v>32</v>
      </c>
      <c r="D41">
        <f t="shared" si="0"/>
        <v>0.97369656213708156</v>
      </c>
      <c r="E41" s="23">
        <f t="shared" si="1"/>
        <v>75.116392445737262</v>
      </c>
      <c r="F41" s="23">
        <f t="shared" si="2"/>
        <v>89163.537870888613</v>
      </c>
    </row>
    <row r="42" spans="3:6">
      <c r="C42">
        <f t="shared" si="3"/>
        <v>33</v>
      </c>
      <c r="D42">
        <f t="shared" si="0"/>
        <v>0.97288582395045631</v>
      </c>
      <c r="E42" s="23">
        <f t="shared" si="1"/>
        <v>74.302948225740508</v>
      </c>
      <c r="F42" s="23">
        <f t="shared" si="2"/>
        <v>88186.591362672523</v>
      </c>
    </row>
    <row r="43" spans="3:6">
      <c r="C43">
        <f t="shared" si="3"/>
        <v>34</v>
      </c>
      <c r="D43">
        <f t="shared" ref="D43:D74" si="4">D42*$D$10</f>
        <v>0.97207576081644265</v>
      </c>
      <c r="E43" s="23">
        <f t="shared" si="1"/>
        <v>73.488826135560444</v>
      </c>
      <c r="F43" s="23">
        <f t="shared" si="2"/>
        <v>87208.830732366259</v>
      </c>
    </row>
    <row r="44" spans="3:6">
      <c r="C44">
        <f t="shared" si="3"/>
        <v>35</v>
      </c>
      <c r="D44">
        <f t="shared" si="4"/>
        <v>0.9712663721729653</v>
      </c>
      <c r="E44" s="23">
        <f t="shared" si="1"/>
        <v>72.674025610305222</v>
      </c>
      <c r="F44" s="23">
        <f t="shared" si="2"/>
        <v>86230.255301534737</v>
      </c>
    </row>
    <row r="45" spans="3:6">
      <c r="C45">
        <f t="shared" si="3"/>
        <v>36</v>
      </c>
      <c r="D45">
        <f t="shared" si="4"/>
        <v>0.97045765745841672</v>
      </c>
      <c r="E45" s="23">
        <f t="shared" si="1"/>
        <v>71.858546084612286</v>
      </c>
      <c r="F45" s="23">
        <f t="shared" si="2"/>
        <v>85250.864391177514</v>
      </c>
    </row>
    <row r="46" spans="3:6">
      <c r="C46">
        <f t="shared" si="3"/>
        <v>37</v>
      </c>
      <c r="D46">
        <f t="shared" si="4"/>
        <v>0.96964961611165712</v>
      </c>
      <c r="E46" s="23">
        <f t="shared" si="1"/>
        <v>71.042386992647934</v>
      </c>
      <c r="F46" s="23">
        <f t="shared" si="2"/>
        <v>84270.657321728329</v>
      </c>
    </row>
    <row r="47" spans="3:6">
      <c r="C47">
        <f t="shared" si="3"/>
        <v>38</v>
      </c>
      <c r="D47">
        <f t="shared" si="4"/>
        <v>0.96884224757201387</v>
      </c>
      <c r="E47" s="23">
        <f t="shared" si="1"/>
        <v>70.225547768106949</v>
      </c>
      <c r="F47" s="23">
        <f t="shared" si="2"/>
        <v>83289.633413054602</v>
      </c>
    </row>
    <row r="48" spans="3:6">
      <c r="C48">
        <f t="shared" si="3"/>
        <v>39</v>
      </c>
      <c r="D48">
        <f t="shared" si="4"/>
        <v>0.9680355512792812</v>
      </c>
      <c r="E48" s="23">
        <f t="shared" si="1"/>
        <v>69.408027844212171</v>
      </c>
      <c r="F48" s="23">
        <f t="shared" si="2"/>
        <v>82307.791984456984</v>
      </c>
    </row>
    <row r="49" spans="3:6">
      <c r="C49">
        <f t="shared" si="3"/>
        <v>40</v>
      </c>
      <c r="D49">
        <f t="shared" si="4"/>
        <v>0.96722952667371986</v>
      </c>
      <c r="E49" s="23">
        <f t="shared" si="1"/>
        <v>68.589826653714155</v>
      </c>
      <c r="F49" s="23">
        <f t="shared" si="2"/>
        <v>81325.132354668865</v>
      </c>
    </row>
    <row r="50" spans="3:6">
      <c r="C50">
        <f t="shared" si="3"/>
        <v>41</v>
      </c>
      <c r="D50">
        <f t="shared" si="4"/>
        <v>0.96642417319605656</v>
      </c>
      <c r="E50" s="23">
        <f t="shared" si="1"/>
        <v>67.77094362889072</v>
      </c>
      <c r="F50" s="23">
        <f t="shared" si="2"/>
        <v>80341.653841855921</v>
      </c>
    </row>
    <row r="51" spans="3:6">
      <c r="C51">
        <f t="shared" si="3"/>
        <v>42</v>
      </c>
      <c r="D51">
        <f t="shared" si="4"/>
        <v>0.96561949028748373</v>
      </c>
      <c r="E51" s="23">
        <f t="shared" si="1"/>
        <v>66.951378201546603</v>
      </c>
      <c r="F51" s="23">
        <f t="shared" si="2"/>
        <v>79357.355763615633</v>
      </c>
    </row>
    <row r="52" spans="3:6">
      <c r="C52">
        <f t="shared" si="3"/>
        <v>43</v>
      </c>
      <c r="D52">
        <f t="shared" si="4"/>
        <v>0.96481547738965912</v>
      </c>
      <c r="E52" s="23">
        <f t="shared" si="1"/>
        <v>66.131129803013025</v>
      </c>
      <c r="F52" s="23">
        <f t="shared" si="2"/>
        <v>78372.237436976822</v>
      </c>
    </row>
    <row r="53" spans="3:6">
      <c r="C53">
        <f t="shared" si="3"/>
        <v>44</v>
      </c>
      <c r="D53">
        <f t="shared" si="4"/>
        <v>0.96401213394470531</v>
      </c>
      <c r="E53" s="23">
        <f t="shared" si="1"/>
        <v>65.310197864147355</v>
      </c>
      <c r="F53" s="23">
        <f t="shared" si="2"/>
        <v>77386.298178399142</v>
      </c>
    </row>
    <row r="54" spans="3:6">
      <c r="C54">
        <f t="shared" si="3"/>
        <v>45</v>
      </c>
      <c r="D54">
        <f t="shared" si="4"/>
        <v>0.96320945939520941</v>
      </c>
      <c r="E54" s="23">
        <f t="shared" si="1"/>
        <v>64.488581815332623</v>
      </c>
      <c r="F54" s="23">
        <f t="shared" si="2"/>
        <v>76399.537303772639</v>
      </c>
    </row>
    <row r="55" spans="3:6">
      <c r="C55">
        <f t="shared" si="3"/>
        <v>46</v>
      </c>
      <c r="D55">
        <f t="shared" si="4"/>
        <v>0.96240745318422261</v>
      </c>
      <c r="E55" s="23">
        <f t="shared" si="1"/>
        <v>63.666281086477198</v>
      </c>
      <c r="F55" s="23">
        <f t="shared" si="2"/>
        <v>75411.954128417288</v>
      </c>
    </row>
    <row r="56" spans="3:6">
      <c r="C56">
        <f t="shared" si="3"/>
        <v>47</v>
      </c>
      <c r="D56">
        <f t="shared" si="4"/>
        <v>0.96160611475525992</v>
      </c>
      <c r="E56" s="23">
        <f t="shared" si="1"/>
        <v>62.843295107014406</v>
      </c>
      <c r="F56" s="23">
        <f t="shared" si="2"/>
        <v>74423.547967082472</v>
      </c>
    </row>
    <row r="57" spans="3:6">
      <c r="C57">
        <f t="shared" si="3"/>
        <v>48</v>
      </c>
      <c r="D57">
        <f t="shared" si="4"/>
        <v>0.9608054435522998</v>
      </c>
      <c r="E57" s="23">
        <f t="shared" si="1"/>
        <v>62.019623305902059</v>
      </c>
      <c r="F57" s="23">
        <f t="shared" si="2"/>
        <v>73434.318133946537</v>
      </c>
    </row>
    <row r="58" spans="3:6">
      <c r="C58">
        <f t="shared" si="3"/>
        <v>49</v>
      </c>
      <c r="D58">
        <f t="shared" si="4"/>
        <v>0.96000543901978341</v>
      </c>
      <c r="E58" s="23">
        <f t="shared" si="1"/>
        <v>61.195265111622113</v>
      </c>
      <c r="F58" s="23">
        <f t="shared" si="2"/>
        <v>72444.263942616322</v>
      </c>
    </row>
    <row r="59" spans="3:6">
      <c r="C59">
        <f t="shared" si="3"/>
        <v>50</v>
      </c>
      <c r="D59">
        <f t="shared" si="4"/>
        <v>0.95920610060261469</v>
      </c>
      <c r="E59" s="23">
        <f t="shared" si="1"/>
        <v>60.370219952180271</v>
      </c>
      <c r="F59" s="23">
        <f t="shared" si="2"/>
        <v>71453.384706126672</v>
      </c>
    </row>
    <row r="60" spans="3:6">
      <c r="C60">
        <f t="shared" si="3"/>
        <v>51</v>
      </c>
      <c r="D60">
        <f t="shared" si="4"/>
        <v>0.95840742774615961</v>
      </c>
      <c r="E60" s="23">
        <f t="shared" si="1"/>
        <v>59.544487255105565</v>
      </c>
      <c r="F60" s="23">
        <f t="shared" si="2"/>
        <v>70461.679736939943</v>
      </c>
    </row>
    <row r="61" spans="3:6">
      <c r="C61">
        <f t="shared" si="3"/>
        <v>52</v>
      </c>
      <c r="D61">
        <f t="shared" si="4"/>
        <v>0.95760941989624615</v>
      </c>
      <c r="E61" s="23">
        <f t="shared" si="1"/>
        <v>58.718066447449957</v>
      </c>
      <c r="F61" s="23">
        <f t="shared" si="2"/>
        <v>69469.148346945556</v>
      </c>
    </row>
    <row r="62" spans="3:6">
      <c r="C62">
        <f t="shared" si="3"/>
        <v>53</v>
      </c>
      <c r="D62">
        <f t="shared" si="4"/>
        <v>0.95681207649916356</v>
      </c>
      <c r="E62" s="23">
        <f t="shared" si="1"/>
        <v>57.890956955787964</v>
      </c>
      <c r="F62" s="23">
        <f t="shared" si="2"/>
        <v>68475.789847459513</v>
      </c>
    </row>
    <row r="63" spans="3:6">
      <c r="C63">
        <f t="shared" si="3"/>
        <v>54</v>
      </c>
      <c r="D63">
        <f t="shared" si="4"/>
        <v>0.95601539700166227</v>
      </c>
      <c r="E63" s="23">
        <f t="shared" si="1"/>
        <v>57.063158206216258</v>
      </c>
      <c r="F63" s="23">
        <f t="shared" si="2"/>
        <v>67481.603549223903</v>
      </c>
    </row>
    <row r="64" spans="3:6">
      <c r="C64">
        <f t="shared" si="3"/>
        <v>55</v>
      </c>
      <c r="D64">
        <f t="shared" si="4"/>
        <v>0.95521938085095326</v>
      </c>
      <c r="E64" s="23">
        <f t="shared" si="1"/>
        <v>56.234669624353252</v>
      </c>
      <c r="F64" s="23">
        <f t="shared" si="2"/>
        <v>66486.58876240642</v>
      </c>
    </row>
    <row r="65" spans="3:6">
      <c r="C65">
        <f t="shared" si="3"/>
        <v>56</v>
      </c>
      <c r="D65">
        <f t="shared" si="4"/>
        <v>0.95442402749470778</v>
      </c>
      <c r="E65" s="23">
        <f t="shared" si="1"/>
        <v>55.40549063533868</v>
      </c>
      <c r="F65" s="23">
        <f t="shared" si="2"/>
        <v>65490.744796599931</v>
      </c>
    </row>
    <row r="66" spans="3:6">
      <c r="C66">
        <f t="shared" si="3"/>
        <v>57</v>
      </c>
      <c r="D66">
        <f t="shared" si="4"/>
        <v>0.95362933638105696</v>
      </c>
      <c r="E66" s="23">
        <f t="shared" si="1"/>
        <v>54.57562066383327</v>
      </c>
      <c r="F66" s="23">
        <f t="shared" si="2"/>
        <v>64494.070960821933</v>
      </c>
    </row>
    <row r="67" spans="3:6">
      <c r="C67">
        <f t="shared" si="3"/>
        <v>58</v>
      </c>
      <c r="D67">
        <f t="shared" si="4"/>
        <v>0.95283530695859153</v>
      </c>
      <c r="E67" s="23">
        <f t="shared" si="1"/>
        <v>53.745059134018277</v>
      </c>
      <c r="F67" s="23">
        <f t="shared" si="2"/>
        <v>63496.566563514119</v>
      </c>
    </row>
    <row r="68" spans="3:6">
      <c r="C68">
        <f t="shared" si="3"/>
        <v>59</v>
      </c>
      <c r="D68">
        <f t="shared" si="4"/>
        <v>0.95204193867636133</v>
      </c>
      <c r="E68" s="23">
        <f t="shared" si="1"/>
        <v>52.913805469595104</v>
      </c>
      <c r="F68" s="23">
        <f t="shared" si="2"/>
        <v>62498.230912541883</v>
      </c>
    </row>
    <row r="69" spans="3:6">
      <c r="C69">
        <f t="shared" si="3"/>
        <v>60</v>
      </c>
      <c r="D69">
        <f t="shared" si="4"/>
        <v>0.95124923098387482</v>
      </c>
      <c r="E69" s="23">
        <f t="shared" si="1"/>
        <v>52.081859093784907</v>
      </c>
      <c r="F69" s="23">
        <f t="shared" si="2"/>
        <v>61499.063315193838</v>
      </c>
    </row>
    <row r="70" spans="3:6">
      <c r="C70">
        <f t="shared" si="3"/>
        <v>61</v>
      </c>
      <c r="D70">
        <f t="shared" si="4"/>
        <v>0.95045718333109896</v>
      </c>
      <c r="E70" s="23">
        <f t="shared" si="1"/>
        <v>51.2492194293282</v>
      </c>
      <c r="F70" s="23">
        <f t="shared" si="2"/>
        <v>60499.063078181338</v>
      </c>
    </row>
    <row r="71" spans="3:6">
      <c r="C71">
        <f t="shared" si="3"/>
        <v>62</v>
      </c>
      <c r="D71">
        <f t="shared" si="4"/>
        <v>0.94966579516845862</v>
      </c>
      <c r="E71" s="23">
        <f t="shared" si="1"/>
        <v>50.415885898484447</v>
      </c>
      <c r="F71" s="23">
        <f t="shared" si="2"/>
        <v>59498.229507637989</v>
      </c>
    </row>
    <row r="72" spans="3:6">
      <c r="C72">
        <f t="shared" si="3"/>
        <v>63</v>
      </c>
      <c r="D72">
        <f t="shared" si="4"/>
        <v>0.94887506594683635</v>
      </c>
      <c r="E72" s="23">
        <f t="shared" si="1"/>
        <v>49.581857923031663</v>
      </c>
      <c r="F72" s="23">
        <f t="shared" si="2"/>
        <v>58496.561909119191</v>
      </c>
    </row>
    <row r="73" spans="3:6">
      <c r="C73">
        <f t="shared" si="3"/>
        <v>64</v>
      </c>
      <c r="D73">
        <f t="shared" si="4"/>
        <v>0.94808499511757183</v>
      </c>
      <c r="E73" s="23">
        <f t="shared" si="1"/>
        <v>48.747134924265993</v>
      </c>
      <c r="F73" s="23">
        <f t="shared" si="2"/>
        <v>57494.05958760163</v>
      </c>
    </row>
    <row r="74" spans="3:6">
      <c r="C74">
        <f t="shared" si="3"/>
        <v>65</v>
      </c>
      <c r="D74">
        <f t="shared" si="4"/>
        <v>0.94729558213246157</v>
      </c>
      <c r="E74" s="23">
        <f t="shared" si="1"/>
        <v>47.911716323001365</v>
      </c>
      <c r="F74" s="23">
        <f t="shared" si="2"/>
        <v>56490.721847482804</v>
      </c>
    </row>
    <row r="75" spans="3:6">
      <c r="C75">
        <f t="shared" si="3"/>
        <v>66</v>
      </c>
      <c r="D75">
        <f t="shared" ref="D75:D106" si="5">D74*$D$10</f>
        <v>0.9465068264437585</v>
      </c>
      <c r="E75" s="23">
        <f t="shared" ref="E75:E129" si="6">F74*$D$3/12</f>
        <v>47.075601539569</v>
      </c>
      <c r="F75" s="23">
        <f t="shared" ref="F75:F129" si="7">F74+E75-$D$5</f>
        <v>55486.547992580541</v>
      </c>
    </row>
    <row r="76" spans="3:6">
      <c r="C76">
        <f t="shared" ref="C76:C107" si="8">C75+1</f>
        <v>67</v>
      </c>
      <c r="D76">
        <f t="shared" si="5"/>
        <v>0.94571872750417174</v>
      </c>
      <c r="E76" s="23">
        <f t="shared" si="6"/>
        <v>46.238789993817115</v>
      </c>
      <c r="F76" s="23">
        <f t="shared" si="7"/>
        <v>54481.537326132529</v>
      </c>
    </row>
    <row r="77" spans="3:6">
      <c r="C77">
        <f t="shared" si="8"/>
        <v>68</v>
      </c>
      <c r="D77">
        <f t="shared" si="5"/>
        <v>0.94493128476686605</v>
      </c>
      <c r="E77" s="23">
        <f t="shared" si="6"/>
        <v>45.401281105110435</v>
      </c>
      <c r="F77" s="23">
        <f t="shared" si="7"/>
        <v>53475.689150795806</v>
      </c>
    </row>
    <row r="78" spans="3:6">
      <c r="C78">
        <f t="shared" si="8"/>
        <v>69</v>
      </c>
      <c r="D78">
        <f t="shared" si="5"/>
        <v>0.9441444976854616</v>
      </c>
      <c r="E78" s="23">
        <f t="shared" si="6"/>
        <v>44.563074292329837</v>
      </c>
      <c r="F78" s="23">
        <f t="shared" si="7"/>
        <v>52469.002768646307</v>
      </c>
    </row>
    <row r="79" spans="3:6">
      <c r="C79">
        <f t="shared" si="8"/>
        <v>70</v>
      </c>
      <c r="D79">
        <f t="shared" si="5"/>
        <v>0.94335836571403331</v>
      </c>
      <c r="E79" s="23">
        <f t="shared" si="6"/>
        <v>43.724168973871919</v>
      </c>
      <c r="F79" s="23">
        <f t="shared" si="7"/>
        <v>51461.47748117835</v>
      </c>
    </row>
    <row r="80" spans="3:6">
      <c r="C80">
        <f t="shared" si="8"/>
        <v>71</v>
      </c>
      <c r="D80">
        <f t="shared" si="5"/>
        <v>0.94257288830711083</v>
      </c>
      <c r="E80" s="23">
        <f t="shared" si="6"/>
        <v>42.884564567648624</v>
      </c>
      <c r="F80" s="23">
        <f t="shared" si="7"/>
        <v>50453.112589304168</v>
      </c>
    </row>
    <row r="81" spans="3:6">
      <c r="C81">
        <f t="shared" si="8"/>
        <v>72</v>
      </c>
      <c r="D81">
        <f t="shared" si="5"/>
        <v>0.94178806491967781</v>
      </c>
      <c r="E81" s="23">
        <f t="shared" si="6"/>
        <v>42.04426049108681</v>
      </c>
      <c r="F81" s="23">
        <f t="shared" si="7"/>
        <v>49443.907393353424</v>
      </c>
    </row>
    <row r="82" spans="3:6">
      <c r="C82">
        <f t="shared" si="8"/>
        <v>73</v>
      </c>
      <c r="D82">
        <f t="shared" si="5"/>
        <v>0.94100389500717196</v>
      </c>
      <c r="E82" s="23">
        <f t="shared" si="6"/>
        <v>41.203256161127854</v>
      </c>
      <c r="F82" s="23">
        <f t="shared" si="7"/>
        <v>48433.86119307272</v>
      </c>
    </row>
    <row r="83" spans="3:6">
      <c r="C83">
        <f t="shared" si="8"/>
        <v>74</v>
      </c>
      <c r="D83">
        <f t="shared" si="5"/>
        <v>0.94022037802548419</v>
      </c>
      <c r="E83" s="23">
        <f t="shared" si="6"/>
        <v>40.361550994227265</v>
      </c>
      <c r="F83" s="23">
        <f t="shared" si="7"/>
        <v>47422.973287625115</v>
      </c>
    </row>
    <row r="84" spans="3:6">
      <c r="C84">
        <f t="shared" si="8"/>
        <v>75</v>
      </c>
      <c r="D84">
        <f t="shared" si="5"/>
        <v>0.93943751343095849</v>
      </c>
      <c r="E84" s="23">
        <f t="shared" si="6"/>
        <v>39.519144406354265</v>
      </c>
      <c r="F84" s="23">
        <f t="shared" si="7"/>
        <v>46411.242975589637</v>
      </c>
    </row>
    <row r="85" spans="3:6">
      <c r="C85">
        <f t="shared" si="8"/>
        <v>76</v>
      </c>
      <c r="D85">
        <f t="shared" si="5"/>
        <v>0.9386553006803916</v>
      </c>
      <c r="E85" s="23">
        <f t="shared" si="6"/>
        <v>38.676035812991366</v>
      </c>
      <c r="F85" s="23">
        <f t="shared" si="7"/>
        <v>45398.669554960798</v>
      </c>
    </row>
    <row r="86" spans="3:6">
      <c r="C86">
        <f t="shared" si="8"/>
        <v>77</v>
      </c>
      <c r="D86">
        <f t="shared" si="5"/>
        <v>0.93787373923103245</v>
      </c>
      <c r="E86" s="23">
        <f t="shared" si="6"/>
        <v>37.832224629133997</v>
      </c>
      <c r="F86" s="23">
        <f t="shared" si="7"/>
        <v>44385.252323148103</v>
      </c>
    </row>
    <row r="87" spans="3:6">
      <c r="C87">
        <f t="shared" si="8"/>
        <v>78</v>
      </c>
      <c r="D87">
        <f t="shared" si="5"/>
        <v>0.93709282854058207</v>
      </c>
      <c r="E87" s="23">
        <f t="shared" si="6"/>
        <v>36.987710269290083</v>
      </c>
      <c r="F87" s="23">
        <f t="shared" si="7"/>
        <v>43370.990576975564</v>
      </c>
    </row>
    <row r="88" spans="3:6">
      <c r="C88">
        <f t="shared" si="8"/>
        <v>79</v>
      </c>
      <c r="D88">
        <f t="shared" si="5"/>
        <v>0.93631256806719287</v>
      </c>
      <c r="E88" s="23">
        <f t="shared" si="6"/>
        <v>36.142492147479636</v>
      </c>
      <c r="F88" s="23">
        <f t="shared" si="7"/>
        <v>42355.883612681217</v>
      </c>
    </row>
    <row r="89" spans="3:6">
      <c r="C89">
        <f t="shared" si="8"/>
        <v>80</v>
      </c>
      <c r="D89">
        <f t="shared" si="5"/>
        <v>0.93553295726946839</v>
      </c>
      <c r="E89" s="23">
        <f t="shared" si="6"/>
        <v>35.296569677234352</v>
      </c>
      <c r="F89" s="23">
        <f t="shared" si="7"/>
        <v>41339.930725916623</v>
      </c>
    </row>
    <row r="90" spans="3:6">
      <c r="C90">
        <f t="shared" si="8"/>
        <v>81</v>
      </c>
      <c r="D90">
        <f t="shared" si="5"/>
        <v>0.93475399560646311</v>
      </c>
      <c r="E90" s="23">
        <f t="shared" si="6"/>
        <v>34.449942271597187</v>
      </c>
      <c r="F90" s="23">
        <f t="shared" si="7"/>
        <v>40323.131211746389</v>
      </c>
    </row>
    <row r="91" spans="3:6">
      <c r="C91">
        <f t="shared" si="8"/>
        <v>82</v>
      </c>
      <c r="D91">
        <f t="shared" si="5"/>
        <v>0.93397568253768182</v>
      </c>
      <c r="E91" s="23">
        <f t="shared" si="6"/>
        <v>33.602609343121991</v>
      </c>
      <c r="F91" s="23">
        <f t="shared" si="7"/>
        <v>39305.48436464768</v>
      </c>
    </row>
    <row r="92" spans="3:6">
      <c r="C92">
        <f t="shared" si="8"/>
        <v>83</v>
      </c>
      <c r="D92">
        <f t="shared" si="5"/>
        <v>0.93319801752307929</v>
      </c>
      <c r="E92" s="23">
        <f t="shared" si="6"/>
        <v>32.754570303873066</v>
      </c>
      <c r="F92" s="23">
        <f t="shared" si="7"/>
        <v>38286.98947850972</v>
      </c>
    </row>
    <row r="93" spans="3:6">
      <c r="C93">
        <f t="shared" si="8"/>
        <v>84</v>
      </c>
      <c r="D93">
        <f t="shared" si="5"/>
        <v>0.93242100002306016</v>
      </c>
      <c r="E93" s="23">
        <f t="shared" si="6"/>
        <v>31.905824565424766</v>
      </c>
      <c r="F93" s="23">
        <f t="shared" si="7"/>
        <v>37267.645846633313</v>
      </c>
    </row>
    <row r="94" spans="3:6">
      <c r="C94">
        <f t="shared" si="8"/>
        <v>85</v>
      </c>
      <c r="D94">
        <f t="shared" si="5"/>
        <v>0.93164462949847815</v>
      </c>
      <c r="E94" s="23">
        <f t="shared" si="6"/>
        <v>31.056371538861097</v>
      </c>
      <c r="F94" s="23">
        <f t="shared" si="7"/>
        <v>36247.452761730347</v>
      </c>
    </row>
    <row r="95" spans="3:6">
      <c r="C95">
        <f t="shared" si="8"/>
        <v>86</v>
      </c>
      <c r="D95">
        <f t="shared" si="5"/>
        <v>0.93086890541063605</v>
      </c>
      <c r="E95" s="23">
        <f t="shared" si="6"/>
        <v>30.206210634775289</v>
      </c>
      <c r="F95" s="23">
        <f t="shared" si="7"/>
        <v>35226.409515923289</v>
      </c>
    </row>
    <row r="96" spans="3:6">
      <c r="C96">
        <f t="shared" si="8"/>
        <v>87</v>
      </c>
      <c r="D96">
        <f t="shared" si="5"/>
        <v>0.93009382722128509</v>
      </c>
      <c r="E96" s="23">
        <f t="shared" si="6"/>
        <v>29.355341263269409</v>
      </c>
      <c r="F96" s="23">
        <f t="shared" si="7"/>
        <v>34204.515400744727</v>
      </c>
    </row>
    <row r="97" spans="3:6">
      <c r="C97">
        <f t="shared" si="8"/>
        <v>88</v>
      </c>
      <c r="D97">
        <f t="shared" si="5"/>
        <v>0.92931939439262468</v>
      </c>
      <c r="E97" s="23">
        <f t="shared" si="6"/>
        <v>28.503762833953939</v>
      </c>
      <c r="F97" s="23">
        <f t="shared" si="7"/>
        <v>33181.769707136853</v>
      </c>
    </row>
    <row r="98" spans="3:6">
      <c r="C98">
        <f t="shared" si="8"/>
        <v>89</v>
      </c>
      <c r="D98">
        <f t="shared" si="5"/>
        <v>0.92854560638730199</v>
      </c>
      <c r="E98" s="23">
        <f t="shared" si="6"/>
        <v>27.651474755947376</v>
      </c>
      <c r="F98" s="23">
        <f t="shared" si="7"/>
        <v>32158.171725450971</v>
      </c>
    </row>
    <row r="99" spans="3:6">
      <c r="C99">
        <f t="shared" si="8"/>
        <v>90</v>
      </c>
      <c r="D99">
        <f t="shared" si="5"/>
        <v>0.92777246266841173</v>
      </c>
      <c r="E99" s="23">
        <f t="shared" si="6"/>
        <v>26.798476437875809</v>
      </c>
      <c r="F99" s="23">
        <f t="shared" si="7"/>
        <v>31133.720745447019</v>
      </c>
    </row>
    <row r="100" spans="3:6">
      <c r="C100">
        <f t="shared" si="8"/>
        <v>91</v>
      </c>
      <c r="D100">
        <f t="shared" si="5"/>
        <v>0.92699996269949558</v>
      </c>
      <c r="E100" s="23">
        <f t="shared" si="6"/>
        <v>25.944767287872519</v>
      </c>
      <c r="F100" s="23">
        <f t="shared" si="7"/>
        <v>30108.416056293063</v>
      </c>
    </row>
    <row r="101" spans="3:6">
      <c r="C101">
        <f t="shared" si="8"/>
        <v>92</v>
      </c>
      <c r="D101">
        <f t="shared" si="5"/>
        <v>0.92622810594454186</v>
      </c>
      <c r="E101" s="23">
        <f t="shared" si="6"/>
        <v>25.090346713577556</v>
      </c>
      <c r="F101" s="23">
        <f t="shared" si="7"/>
        <v>29082.256946564812</v>
      </c>
    </row>
    <row r="102" spans="3:6">
      <c r="C102">
        <f t="shared" si="8"/>
        <v>93</v>
      </c>
      <c r="D102">
        <f t="shared" si="5"/>
        <v>0.9254568918679853</v>
      </c>
      <c r="E102" s="23">
        <f t="shared" si="6"/>
        <v>24.235214122137346</v>
      </c>
      <c r="F102" s="23">
        <f t="shared" si="7"/>
        <v>28055.242704245124</v>
      </c>
    </row>
    <row r="103" spans="3:6">
      <c r="C103">
        <f t="shared" si="8"/>
        <v>94</v>
      </c>
      <c r="D103">
        <f t="shared" si="5"/>
        <v>0.92468631993470651</v>
      </c>
      <c r="E103" s="23">
        <f t="shared" si="6"/>
        <v>23.379368920204271</v>
      </c>
      <c r="F103" s="23">
        <f t="shared" si="7"/>
        <v>27027.3726167235</v>
      </c>
    </row>
    <row r="104" spans="3:6">
      <c r="C104">
        <f t="shared" si="8"/>
        <v>95</v>
      </c>
      <c r="D104">
        <f t="shared" si="5"/>
        <v>0.92391638961003153</v>
      </c>
      <c r="E104" s="23">
        <f t="shared" si="6"/>
        <v>22.52281051393625</v>
      </c>
      <c r="F104" s="23">
        <f t="shared" si="7"/>
        <v>25998.645970795609</v>
      </c>
    </row>
    <row r="105" spans="3:6">
      <c r="C105">
        <f t="shared" si="8"/>
        <v>96</v>
      </c>
      <c r="D105">
        <f t="shared" si="5"/>
        <v>0.9231471003597318</v>
      </c>
      <c r="E105" s="23">
        <f t="shared" si="6"/>
        <v>21.665538308996343</v>
      </c>
      <c r="F105" s="23">
        <f t="shared" si="7"/>
        <v>24969.062052662775</v>
      </c>
    </row>
    <row r="106" spans="3:6">
      <c r="C106">
        <f t="shared" si="8"/>
        <v>97</v>
      </c>
      <c r="D106">
        <f t="shared" si="5"/>
        <v>0.92237845165002352</v>
      </c>
      <c r="E106" s="23">
        <f t="shared" si="6"/>
        <v>20.807551710552314</v>
      </c>
      <c r="F106" s="23">
        <f t="shared" si="7"/>
        <v>23938.620147931499</v>
      </c>
    </row>
    <row r="107" spans="3:6">
      <c r="C107">
        <f t="shared" si="8"/>
        <v>98</v>
      </c>
      <c r="D107">
        <f t="shared" ref="D107:D129" si="9">D106*$D$10</f>
        <v>0.92161044294756733</v>
      </c>
      <c r="E107" s="23">
        <f t="shared" si="6"/>
        <v>19.948850123276248</v>
      </c>
      <c r="F107" s="23">
        <f t="shared" si="7"/>
        <v>22907.319541612946</v>
      </c>
    </row>
    <row r="108" spans="3:6">
      <c r="C108">
        <f t="shared" ref="C108:C129" si="10">C107+1</f>
        <v>99</v>
      </c>
      <c r="D108">
        <f t="shared" si="9"/>
        <v>0.92084307371946783</v>
      </c>
      <c r="E108" s="23">
        <f t="shared" si="6"/>
        <v>19.089432951344122</v>
      </c>
      <c r="F108" s="23">
        <f t="shared" si="7"/>
        <v>21875.159518122462</v>
      </c>
    </row>
    <row r="109" spans="3:6">
      <c r="C109">
        <f t="shared" si="10"/>
        <v>100</v>
      </c>
      <c r="D109">
        <f t="shared" si="9"/>
        <v>0.92007634343327349</v>
      </c>
      <c r="E109" s="23">
        <f t="shared" si="6"/>
        <v>18.229299598435386</v>
      </c>
      <c r="F109" s="23">
        <f t="shared" si="7"/>
        <v>20842.139361279071</v>
      </c>
    </row>
    <row r="110" spans="3:6">
      <c r="C110">
        <f t="shared" si="10"/>
        <v>101</v>
      </c>
      <c r="D110">
        <f t="shared" si="9"/>
        <v>0.9193102515569761</v>
      </c>
      <c r="E110" s="23">
        <f t="shared" si="6"/>
        <v>17.36844946773256</v>
      </c>
      <c r="F110" s="23">
        <f t="shared" si="7"/>
        <v>19808.258354304977</v>
      </c>
    </row>
    <row r="111" spans="3:6">
      <c r="C111">
        <f t="shared" si="10"/>
        <v>102</v>
      </c>
      <c r="D111">
        <f t="shared" si="9"/>
        <v>0.91854479755901031</v>
      </c>
      <c r="E111" s="23">
        <f t="shared" si="6"/>
        <v>16.506881961920815</v>
      </c>
      <c r="F111" s="23">
        <f t="shared" si="7"/>
        <v>18773.515779825066</v>
      </c>
    </row>
    <row r="112" spans="3:6">
      <c r="C112">
        <f t="shared" si="10"/>
        <v>103</v>
      </c>
      <c r="D112">
        <f t="shared" si="9"/>
        <v>0.91777998090825352</v>
      </c>
      <c r="E112" s="23">
        <f t="shared" si="6"/>
        <v>15.644596483187556</v>
      </c>
      <c r="F112" s="23">
        <f t="shared" si="7"/>
        <v>17737.910919866423</v>
      </c>
    </row>
    <row r="113" spans="3:6">
      <c r="C113">
        <f t="shared" si="10"/>
        <v>104</v>
      </c>
      <c r="D113">
        <f t="shared" si="9"/>
        <v>0.91701580107402525</v>
      </c>
      <c r="E113" s="23">
        <f t="shared" si="6"/>
        <v>14.781592433222018</v>
      </c>
      <c r="F113" s="23">
        <f t="shared" si="7"/>
        <v>16701.443055857817</v>
      </c>
    </row>
    <row r="114" spans="3:6">
      <c r="C114">
        <f t="shared" si="10"/>
        <v>105</v>
      </c>
      <c r="D114">
        <f t="shared" si="9"/>
        <v>0.91625225752608697</v>
      </c>
      <c r="E114" s="23">
        <f t="shared" si="6"/>
        <v>13.917869213214848</v>
      </c>
      <c r="F114" s="23">
        <f t="shared" si="7"/>
        <v>15664.111468629204</v>
      </c>
    </row>
    <row r="115" spans="3:6">
      <c r="C115">
        <f t="shared" si="10"/>
        <v>106</v>
      </c>
      <c r="D115">
        <f t="shared" si="9"/>
        <v>0.91548934973464147</v>
      </c>
      <c r="E115" s="23">
        <f t="shared" si="6"/>
        <v>13.05342622385767</v>
      </c>
      <c r="F115" s="23">
        <f t="shared" si="7"/>
        <v>14625.915438411233</v>
      </c>
    </row>
    <row r="116" spans="3:6">
      <c r="C116">
        <f t="shared" si="10"/>
        <v>107</v>
      </c>
      <c r="D116">
        <f t="shared" si="9"/>
        <v>0.91472707717033297</v>
      </c>
      <c r="E116" s="23">
        <f t="shared" si="6"/>
        <v>12.188262865342695</v>
      </c>
      <c r="F116" s="23">
        <f t="shared" si="7"/>
        <v>13586.854244834747</v>
      </c>
    </row>
    <row r="117" spans="3:6">
      <c r="C117">
        <f t="shared" si="10"/>
        <v>108</v>
      </c>
      <c r="D117">
        <f t="shared" si="9"/>
        <v>0.91396543930424623</v>
      </c>
      <c r="E117" s="23">
        <f t="shared" si="6"/>
        <v>11.32237853736229</v>
      </c>
      <c r="F117" s="23">
        <f t="shared" si="7"/>
        <v>12546.927166930282</v>
      </c>
    </row>
    <row r="118" spans="3:6">
      <c r="C118">
        <f t="shared" si="10"/>
        <v>109</v>
      </c>
      <c r="D118">
        <f t="shared" si="9"/>
        <v>0.91320443560790643</v>
      </c>
      <c r="E118" s="23">
        <f t="shared" si="6"/>
        <v>10.455772639108568</v>
      </c>
      <c r="F118" s="23">
        <f t="shared" si="7"/>
        <v>11506.133483127562</v>
      </c>
    </row>
    <row r="119" spans="3:6">
      <c r="C119">
        <f t="shared" si="10"/>
        <v>110</v>
      </c>
      <c r="D119">
        <f t="shared" si="9"/>
        <v>0.91244406555327873</v>
      </c>
      <c r="E119" s="23">
        <f t="shared" si="6"/>
        <v>9.5884445692729674</v>
      </c>
      <c r="F119" s="23">
        <f t="shared" si="7"/>
        <v>10464.472471255007</v>
      </c>
    </row>
    <row r="120" spans="3:6">
      <c r="C120">
        <f t="shared" si="10"/>
        <v>111</v>
      </c>
      <c r="D120">
        <f t="shared" si="9"/>
        <v>0.91168432861276816</v>
      </c>
      <c r="E120" s="23">
        <f t="shared" si="6"/>
        <v>8.72039372604584</v>
      </c>
      <c r="F120" s="23">
        <f t="shared" si="7"/>
        <v>9421.943408539224</v>
      </c>
    </row>
    <row r="121" spans="3:6">
      <c r="C121">
        <f t="shared" si="10"/>
        <v>112</v>
      </c>
      <c r="D121">
        <f t="shared" si="9"/>
        <v>0.91092522425921885</v>
      </c>
      <c r="E121" s="23">
        <f t="shared" si="6"/>
        <v>7.8516195071160197</v>
      </c>
      <c r="F121" s="23">
        <f t="shared" si="7"/>
        <v>8378.5455716045108</v>
      </c>
    </row>
    <row r="122" spans="3:6">
      <c r="C122">
        <f t="shared" si="10"/>
        <v>113</v>
      </c>
      <c r="D122">
        <f t="shared" si="9"/>
        <v>0.91016675196591401</v>
      </c>
      <c r="E122" s="23">
        <f t="shared" si="6"/>
        <v>6.9821213096704255</v>
      </c>
      <c r="F122" s="23">
        <f t="shared" si="7"/>
        <v>7334.2782364723535</v>
      </c>
    </row>
    <row r="123" spans="3:6">
      <c r="C123">
        <f t="shared" si="10"/>
        <v>114</v>
      </c>
      <c r="D123">
        <f t="shared" si="9"/>
        <v>0.9094089112065753</v>
      </c>
      <c r="E123" s="23">
        <f t="shared" si="6"/>
        <v>6.1118985303936277</v>
      </c>
      <c r="F123" s="23">
        <f t="shared" si="7"/>
        <v>6289.1406785609188</v>
      </c>
    </row>
    <row r="124" spans="3:6">
      <c r="C124">
        <f t="shared" si="10"/>
        <v>115</v>
      </c>
      <c r="D124">
        <f t="shared" si="9"/>
        <v>0.90865170145536256</v>
      </c>
      <c r="E124" s="23">
        <f t="shared" si="6"/>
        <v>5.2409505654674327</v>
      </c>
      <c r="F124" s="23">
        <f t="shared" si="7"/>
        <v>5243.1321726845581</v>
      </c>
    </row>
    <row r="125" spans="3:6">
      <c r="C125">
        <f t="shared" si="10"/>
        <v>116</v>
      </c>
      <c r="D125">
        <f t="shared" si="9"/>
        <v>0.90789512218687363</v>
      </c>
      <c r="E125" s="23">
        <f t="shared" si="6"/>
        <v>4.3692768105704651</v>
      </c>
      <c r="F125" s="23">
        <f t="shared" si="7"/>
        <v>4196.2519930532999</v>
      </c>
    </row>
    <row r="126" spans="3:6">
      <c r="C126">
        <f t="shared" si="10"/>
        <v>117</v>
      </c>
      <c r="D126">
        <f t="shared" si="9"/>
        <v>0.90713917287614354</v>
      </c>
      <c r="E126" s="23">
        <f t="shared" si="6"/>
        <v>3.4968766608777497</v>
      </c>
      <c r="F126" s="23">
        <f t="shared" si="7"/>
        <v>3148.4994132723496</v>
      </c>
    </row>
    <row r="127" spans="3:6">
      <c r="C127">
        <f t="shared" si="10"/>
        <v>118</v>
      </c>
      <c r="D127">
        <f t="shared" si="9"/>
        <v>0.90638385299864477</v>
      </c>
      <c r="E127" s="23">
        <f t="shared" si="6"/>
        <v>2.6237495110602915</v>
      </c>
      <c r="F127" s="23">
        <f t="shared" si="7"/>
        <v>2099.8737063415815</v>
      </c>
    </row>
    <row r="128" spans="3:6">
      <c r="C128">
        <f t="shared" si="10"/>
        <v>119</v>
      </c>
      <c r="D128">
        <f t="shared" si="9"/>
        <v>0.90562916203028632</v>
      </c>
      <c r="E128" s="23">
        <f t="shared" si="6"/>
        <v>1.7498947552846513</v>
      </c>
      <c r="F128" s="23">
        <f t="shared" si="7"/>
        <v>1050.3741446550375</v>
      </c>
    </row>
    <row r="129" spans="3:6">
      <c r="C129">
        <f t="shared" si="10"/>
        <v>120</v>
      </c>
      <c r="D129">
        <f t="shared" si="9"/>
        <v>0.90487509944741351</v>
      </c>
      <c r="E129" s="23">
        <f t="shared" si="6"/>
        <v>0.87531178721253122</v>
      </c>
      <c r="F129" s="23">
        <f t="shared" si="7"/>
        <v>4.2155079427175224E-10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B2:K38"/>
  <sheetViews>
    <sheetView workbookViewId="0">
      <selection activeCell="D22" sqref="D22"/>
    </sheetView>
  </sheetViews>
  <sheetFormatPr baseColWidth="10" defaultRowHeight="14.4"/>
  <cols>
    <col min="2" max="2" width="14.5546875" bestFit="1" customWidth="1"/>
    <col min="3" max="4" width="16.44140625" bestFit="1" customWidth="1"/>
    <col min="8" max="9" width="14.5546875" bestFit="1" customWidth="1"/>
    <col min="10" max="10" width="14.33203125" bestFit="1" customWidth="1"/>
    <col min="11" max="11" width="12.88671875" bestFit="1" customWidth="1"/>
  </cols>
  <sheetData>
    <row r="2" spans="2:11">
      <c r="B2" s="3" t="s">
        <v>13</v>
      </c>
      <c r="C2" s="6">
        <v>1.0050335853501452E-2</v>
      </c>
    </row>
    <row r="3" spans="2:11">
      <c r="B3" s="3" t="s">
        <v>16</v>
      </c>
      <c r="C3" s="2">
        <v>100000000</v>
      </c>
    </row>
    <row r="4" spans="2:11">
      <c r="D4" s="3" t="s">
        <v>20</v>
      </c>
    </row>
    <row r="5" spans="2:11">
      <c r="B5" s="3" t="s">
        <v>14</v>
      </c>
      <c r="C5" s="4">
        <f>SUM(J10:J19)</f>
        <v>9466174.5741283521</v>
      </c>
      <c r="D5" s="4">
        <f>C24-C5</f>
        <v>88533.554843716323</v>
      </c>
    </row>
    <row r="6" spans="2:11">
      <c r="B6" s="3" t="s">
        <v>15</v>
      </c>
      <c r="C6" s="4">
        <f>SUM(K10:K19)</f>
        <v>-9466174.574128354</v>
      </c>
      <c r="D6" s="2">
        <f>-SUMPRODUCT(F10:F19,H10:H19,D10:D19,I29:I38)-C6</f>
        <v>5126.1415756959468</v>
      </c>
    </row>
    <row r="7" spans="2:11">
      <c r="B7" s="3" t="s">
        <v>19</v>
      </c>
      <c r="C7" s="4">
        <f>C5+C6</f>
        <v>0</v>
      </c>
      <c r="D7" s="4">
        <f>SUM(D5:D6)</f>
        <v>93659.69641941227</v>
      </c>
    </row>
    <row r="9" spans="2:11">
      <c r="B9" s="3" t="s">
        <v>17</v>
      </c>
      <c r="C9" s="3" t="s">
        <v>18</v>
      </c>
      <c r="D9" s="3" t="s">
        <v>1</v>
      </c>
      <c r="E9" s="3" t="s">
        <v>8</v>
      </c>
      <c r="F9" s="3" t="s">
        <v>12</v>
      </c>
      <c r="G9" s="3" t="s">
        <v>9</v>
      </c>
      <c r="H9" s="3" t="s">
        <v>10</v>
      </c>
      <c r="I9" s="3" t="s">
        <v>11</v>
      </c>
      <c r="J9" s="3" t="s">
        <v>14</v>
      </c>
      <c r="K9" s="3" t="s">
        <v>15</v>
      </c>
    </row>
    <row r="10" spans="2:11">
      <c r="B10">
        <f>C10-1</f>
        <v>0</v>
      </c>
      <c r="C10">
        <v>1</v>
      </c>
      <c r="D10" s="4">
        <f t="shared" ref="D10:D19" si="0">$C$3</f>
        <v>100000000</v>
      </c>
      <c r="E10" s="6">
        <f>(1-I10)/G10</f>
        <v>9.8630136986301454E-3</v>
      </c>
      <c r="F10" s="5">
        <v>0.01</v>
      </c>
      <c r="G10">
        <f>(C10-B10)*365/360</f>
        <v>1.0138888888888888</v>
      </c>
      <c r="H10">
        <v>1</v>
      </c>
      <c r="I10">
        <f t="shared" ref="I10:I19" si="1">EXP(-$C$2*C10)</f>
        <v>0.99</v>
      </c>
      <c r="J10" s="4">
        <f>I10*E10*G10*D10</f>
        <v>990000.00000000081</v>
      </c>
      <c r="K10" s="4">
        <f>-I10*F10*H10*D10</f>
        <v>-990000.00000000012</v>
      </c>
    </row>
    <row r="11" spans="2:11">
      <c r="B11">
        <f t="shared" ref="B11:B19" si="2">C11-1</f>
        <v>1</v>
      </c>
      <c r="C11">
        <f>C10+1</f>
        <v>2</v>
      </c>
      <c r="D11" s="4">
        <f t="shared" si="0"/>
        <v>100000000</v>
      </c>
      <c r="E11" s="6">
        <f>(1-I11/I10)/G11</f>
        <v>9.8630136986301454E-3</v>
      </c>
      <c r="F11" s="5">
        <v>0.01</v>
      </c>
      <c r="G11">
        <f t="shared" ref="G11:G19" si="3">(C11-B11)*365/360</f>
        <v>1.0138888888888888</v>
      </c>
      <c r="H11">
        <v>1</v>
      </c>
      <c r="I11">
        <f t="shared" si="1"/>
        <v>0.98009999999999997</v>
      </c>
      <c r="J11" s="4">
        <f t="shared" ref="J11:J19" si="4">I11*E11*G11*D11</f>
        <v>980100.00000000081</v>
      </c>
      <c r="K11" s="4">
        <f t="shared" ref="K11:K19" si="5">-I11*F11*H11*D11</f>
        <v>-980100.00000000012</v>
      </c>
    </row>
    <row r="12" spans="2:11">
      <c r="B12">
        <f t="shared" si="2"/>
        <v>2</v>
      </c>
      <c r="C12">
        <f t="shared" ref="C12:C19" si="6">C11+1</f>
        <v>3</v>
      </c>
      <c r="D12" s="4">
        <f t="shared" si="0"/>
        <v>100000000</v>
      </c>
      <c r="E12" s="6">
        <f t="shared" ref="E12:E19" si="7">(1-I12/I11)/G12</f>
        <v>9.8630136986301454E-3</v>
      </c>
      <c r="F12" s="5">
        <v>0.01</v>
      </c>
      <c r="G12">
        <f t="shared" si="3"/>
        <v>1.0138888888888888</v>
      </c>
      <c r="H12">
        <v>1</v>
      </c>
      <c r="I12">
        <f t="shared" si="1"/>
        <v>0.97029899999999991</v>
      </c>
      <c r="J12" s="4">
        <f t="shared" si="4"/>
        <v>970299.0000000007</v>
      </c>
      <c r="K12" s="4">
        <f t="shared" si="5"/>
        <v>-970299</v>
      </c>
    </row>
    <row r="13" spans="2:11">
      <c r="B13">
        <f t="shared" si="2"/>
        <v>3</v>
      </c>
      <c r="C13">
        <f t="shared" si="6"/>
        <v>4</v>
      </c>
      <c r="D13" s="4">
        <f t="shared" si="0"/>
        <v>100000000</v>
      </c>
      <c r="E13" s="6">
        <f t="shared" si="7"/>
        <v>9.8630136986301454E-3</v>
      </c>
      <c r="F13" s="5">
        <v>0.01</v>
      </c>
      <c r="G13">
        <f t="shared" si="3"/>
        <v>1.0138888888888888</v>
      </c>
      <c r="H13">
        <v>1</v>
      </c>
      <c r="I13">
        <f t="shared" si="1"/>
        <v>0.96059600999999994</v>
      </c>
      <c r="J13" s="4">
        <f t="shared" si="4"/>
        <v>960596.01000000071</v>
      </c>
      <c r="K13" s="4">
        <f t="shared" si="5"/>
        <v>-960596.01</v>
      </c>
    </row>
    <row r="14" spans="2:11">
      <c r="B14">
        <f t="shared" si="2"/>
        <v>4</v>
      </c>
      <c r="C14">
        <f t="shared" si="6"/>
        <v>5</v>
      </c>
      <c r="D14" s="4">
        <f t="shared" si="0"/>
        <v>100000000</v>
      </c>
      <c r="E14" s="6">
        <f t="shared" si="7"/>
        <v>9.8630136986301454E-3</v>
      </c>
      <c r="F14" s="5">
        <v>0.01</v>
      </c>
      <c r="G14">
        <f t="shared" si="3"/>
        <v>1.0138888888888888</v>
      </c>
      <c r="H14">
        <v>1</v>
      </c>
      <c r="I14">
        <f t="shared" si="1"/>
        <v>0.95099004989999991</v>
      </c>
      <c r="J14" s="4">
        <f t="shared" si="4"/>
        <v>950990.04990000057</v>
      </c>
      <c r="K14" s="4">
        <f t="shared" si="5"/>
        <v>-950990.04989999998</v>
      </c>
    </row>
    <row r="15" spans="2:11">
      <c r="B15">
        <f t="shared" si="2"/>
        <v>5</v>
      </c>
      <c r="C15">
        <f t="shared" si="6"/>
        <v>6</v>
      </c>
      <c r="D15" s="4">
        <f t="shared" si="0"/>
        <v>100000000</v>
      </c>
      <c r="E15" s="6">
        <f t="shared" si="7"/>
        <v>9.8630136986301454E-3</v>
      </c>
      <c r="F15" s="5">
        <v>0.01</v>
      </c>
      <c r="G15">
        <f t="shared" si="3"/>
        <v>1.0138888888888888</v>
      </c>
      <c r="H15">
        <v>1</v>
      </c>
      <c r="I15">
        <f t="shared" si="1"/>
        <v>0.94148014940099989</v>
      </c>
      <c r="J15" s="4">
        <f t="shared" si="4"/>
        <v>941480.1494010007</v>
      </c>
      <c r="K15" s="4">
        <f t="shared" si="5"/>
        <v>-941480.14940099977</v>
      </c>
    </row>
    <row r="16" spans="2:11">
      <c r="B16">
        <f t="shared" si="2"/>
        <v>6</v>
      </c>
      <c r="C16">
        <f t="shared" si="6"/>
        <v>7</v>
      </c>
      <c r="D16" s="4">
        <f t="shared" si="0"/>
        <v>100000000</v>
      </c>
      <c r="E16" s="6">
        <f t="shared" si="7"/>
        <v>9.8630136986301454E-3</v>
      </c>
      <c r="F16" s="5">
        <v>0.01</v>
      </c>
      <c r="G16">
        <f t="shared" si="3"/>
        <v>1.0138888888888888</v>
      </c>
      <c r="H16">
        <v>1</v>
      </c>
      <c r="I16">
        <f t="shared" si="1"/>
        <v>0.93206534790698992</v>
      </c>
      <c r="J16" s="4">
        <f t="shared" si="4"/>
        <v>932065.34790699068</v>
      </c>
      <c r="K16" s="4">
        <f t="shared" si="5"/>
        <v>-932065.34790698998</v>
      </c>
    </row>
    <row r="17" spans="2:11">
      <c r="B17">
        <f t="shared" si="2"/>
        <v>7</v>
      </c>
      <c r="C17">
        <f t="shared" si="6"/>
        <v>8</v>
      </c>
      <c r="D17" s="4">
        <f t="shared" si="0"/>
        <v>100000000</v>
      </c>
      <c r="E17" s="6">
        <f t="shared" si="7"/>
        <v>9.8630136986300361E-3</v>
      </c>
      <c r="F17" s="5">
        <v>0.01</v>
      </c>
      <c r="G17">
        <f t="shared" si="3"/>
        <v>1.0138888888888888</v>
      </c>
      <c r="H17">
        <v>1</v>
      </c>
      <c r="I17">
        <f t="shared" si="1"/>
        <v>0.92274469442792006</v>
      </c>
      <c r="J17" s="4">
        <f t="shared" si="4"/>
        <v>922744.69442791061</v>
      </c>
      <c r="K17" s="4">
        <f t="shared" si="5"/>
        <v>-922744.69442792004</v>
      </c>
    </row>
    <row r="18" spans="2:11">
      <c r="B18">
        <f t="shared" si="2"/>
        <v>8</v>
      </c>
      <c r="C18">
        <f t="shared" si="6"/>
        <v>9</v>
      </c>
      <c r="D18" s="4">
        <f t="shared" si="0"/>
        <v>100000000</v>
      </c>
      <c r="E18" s="6">
        <f t="shared" si="7"/>
        <v>9.8630136986301454E-3</v>
      </c>
      <c r="F18" s="5">
        <v>0.01</v>
      </c>
      <c r="G18">
        <f t="shared" si="3"/>
        <v>1.0138888888888888</v>
      </c>
      <c r="H18">
        <v>1</v>
      </c>
      <c r="I18">
        <f t="shared" si="1"/>
        <v>0.91351724748364083</v>
      </c>
      <c r="J18" s="4">
        <f t="shared" si="4"/>
        <v>913517.24748364149</v>
      </c>
      <c r="K18" s="4">
        <f t="shared" si="5"/>
        <v>-913517.24748364079</v>
      </c>
    </row>
    <row r="19" spans="2:11">
      <c r="B19">
        <f t="shared" si="2"/>
        <v>9</v>
      </c>
      <c r="C19">
        <f t="shared" si="6"/>
        <v>10</v>
      </c>
      <c r="D19" s="4">
        <f t="shared" si="0"/>
        <v>100000000</v>
      </c>
      <c r="E19" s="6">
        <f t="shared" si="7"/>
        <v>9.8630136986301454E-3</v>
      </c>
      <c r="F19" s="5">
        <v>0.01</v>
      </c>
      <c r="G19">
        <f t="shared" si="3"/>
        <v>1.0138888888888888</v>
      </c>
      <c r="H19">
        <v>1</v>
      </c>
      <c r="I19">
        <f t="shared" si="1"/>
        <v>0.90438207500880441</v>
      </c>
      <c r="J19" s="4">
        <f t="shared" si="4"/>
        <v>904382.07500880514</v>
      </c>
      <c r="K19" s="4">
        <f t="shared" si="5"/>
        <v>-904382.07500880444</v>
      </c>
    </row>
    <row r="21" spans="2:11">
      <c r="B21" s="3" t="s">
        <v>13</v>
      </c>
      <c r="C21" s="6">
        <f>C2+D21</f>
        <v>1.0150335853501452E-2</v>
      </c>
      <c r="D21" s="7">
        <v>1E-4</v>
      </c>
    </row>
    <row r="22" spans="2:11">
      <c r="B22" s="3" t="s">
        <v>16</v>
      </c>
      <c r="C22" s="2">
        <v>100000000</v>
      </c>
    </row>
    <row r="24" spans="2:11">
      <c r="B24" s="3" t="s">
        <v>14</v>
      </c>
      <c r="C24" s="4">
        <f>SUM(J29:J38)</f>
        <v>9554708.1289720684</v>
      </c>
    </row>
    <row r="25" spans="2:11">
      <c r="B25" s="3" t="s">
        <v>15</v>
      </c>
      <c r="C25" s="4">
        <f>SUM(K29:K38)</f>
        <v>-9555658.9168781843</v>
      </c>
    </row>
    <row r="26" spans="2:11">
      <c r="B26" s="3" t="s">
        <v>19</v>
      </c>
      <c r="C26" s="4">
        <f>C24+C25</f>
        <v>-950.78790611587465</v>
      </c>
    </row>
    <row r="28" spans="2:11">
      <c r="B28" s="3" t="s">
        <v>17</v>
      </c>
      <c r="C28" s="3" t="s">
        <v>18</v>
      </c>
      <c r="D28" s="3" t="s">
        <v>1</v>
      </c>
      <c r="E28" s="3" t="s">
        <v>8</v>
      </c>
      <c r="F28" s="3" t="s">
        <v>12</v>
      </c>
      <c r="G28" s="3" t="s">
        <v>9</v>
      </c>
      <c r="H28" s="3" t="s">
        <v>10</v>
      </c>
      <c r="I28" s="3" t="s">
        <v>11</v>
      </c>
      <c r="J28" s="3" t="s">
        <v>14</v>
      </c>
      <c r="K28" s="3" t="s">
        <v>15</v>
      </c>
    </row>
    <row r="29" spans="2:11">
      <c r="B29">
        <f>C29-1</f>
        <v>0</v>
      </c>
      <c r="C29">
        <v>1</v>
      </c>
      <c r="D29" s="4">
        <f t="shared" ref="D29:D38" si="8">$C$3</f>
        <v>100000000</v>
      </c>
      <c r="E29" s="6">
        <f>(1-I29)/G29</f>
        <v>9.9606526522175182E-3</v>
      </c>
      <c r="F29" s="5">
        <v>1.01E-2</v>
      </c>
      <c r="G29">
        <f>(C29-B29)*365/360</f>
        <v>1.0138888888888888</v>
      </c>
      <c r="H29">
        <v>1</v>
      </c>
      <c r="I29">
        <f>EXP(-$C$21*C29)</f>
        <v>0.98990100494983502</v>
      </c>
      <c r="J29" s="4">
        <f>I29*E29*G29*D29</f>
        <v>999700.5349141726</v>
      </c>
      <c r="K29" s="4">
        <f>-I29*F29*H29*D29</f>
        <v>-999800.01499933342</v>
      </c>
    </row>
    <row r="30" spans="2:11">
      <c r="B30">
        <f t="shared" ref="B30:B38" si="9">C30-1</f>
        <v>1</v>
      </c>
      <c r="C30">
        <f>C29+1</f>
        <v>2</v>
      </c>
      <c r="D30" s="4">
        <f t="shared" si="8"/>
        <v>100000000</v>
      </c>
      <c r="E30" s="6">
        <f>(1-I30/I29)/G30</f>
        <v>9.9606526522175182E-3</v>
      </c>
      <c r="F30" s="5">
        <v>1.01E-2</v>
      </c>
      <c r="G30">
        <f t="shared" ref="G30:G38" si="10">(C30-B30)*365/360</f>
        <v>1.0138888888888888</v>
      </c>
      <c r="H30">
        <v>1</v>
      </c>
      <c r="I30">
        <f t="shared" ref="I30:I38" si="11">EXP(-$C$21*C30)</f>
        <v>0.9799039996006933</v>
      </c>
      <c r="J30" s="4">
        <f t="shared" ref="J30:J38" si="12">I30*E30*G30*D30</f>
        <v>989604.56416042708</v>
      </c>
      <c r="K30" s="4">
        <f t="shared" ref="K30:K38" si="13">-I30*F30*H30*D30</f>
        <v>-989703.03959670011</v>
      </c>
    </row>
    <row r="31" spans="2:11">
      <c r="B31">
        <f t="shared" si="9"/>
        <v>2</v>
      </c>
      <c r="C31">
        <f t="shared" ref="C31:C38" si="14">C30+1</f>
        <v>3</v>
      </c>
      <c r="D31" s="4">
        <f t="shared" si="8"/>
        <v>100000000</v>
      </c>
      <c r="E31" s="6">
        <f t="shared" ref="E31:E38" si="15">(1-I31/I30)/G31</f>
        <v>9.9606526522176275E-3</v>
      </c>
      <c r="F31" s="5">
        <v>1.01E-2</v>
      </c>
      <c r="G31">
        <f t="shared" si="10"/>
        <v>1.0138888888888888</v>
      </c>
      <c r="H31">
        <v>1</v>
      </c>
      <c r="I31">
        <f t="shared" si="11"/>
        <v>0.9700079539590889</v>
      </c>
      <c r="J31" s="4">
        <f t="shared" si="12"/>
        <v>979610.55256536091</v>
      </c>
      <c r="K31" s="4">
        <f t="shared" si="13"/>
        <v>-979708.03349867964</v>
      </c>
    </row>
    <row r="32" spans="2:11">
      <c r="B32">
        <f t="shared" si="9"/>
        <v>3</v>
      </c>
      <c r="C32">
        <f t="shared" si="14"/>
        <v>4</v>
      </c>
      <c r="D32" s="4">
        <f t="shared" si="8"/>
        <v>100000000</v>
      </c>
      <c r="E32" s="6">
        <f t="shared" si="15"/>
        <v>9.9606526522175182E-3</v>
      </c>
      <c r="F32" s="5">
        <v>1.01E-2</v>
      </c>
      <c r="G32">
        <f t="shared" si="10"/>
        <v>1.0138888888888888</v>
      </c>
      <c r="H32">
        <v>1</v>
      </c>
      <c r="I32">
        <f t="shared" si="11"/>
        <v>0.96021184843343543</v>
      </c>
      <c r="J32" s="4">
        <f t="shared" si="12"/>
        <v>969717.47044390347</v>
      </c>
      <c r="K32" s="4">
        <f t="shared" si="13"/>
        <v>-969813.96691776975</v>
      </c>
    </row>
    <row r="33" spans="2:11">
      <c r="B33">
        <f t="shared" si="9"/>
        <v>4</v>
      </c>
      <c r="C33">
        <f t="shared" si="14"/>
        <v>5</v>
      </c>
      <c r="D33" s="4">
        <f t="shared" si="8"/>
        <v>100000000</v>
      </c>
      <c r="E33" s="6">
        <f t="shared" si="15"/>
        <v>9.9606526522176275E-3</v>
      </c>
      <c r="F33" s="5">
        <v>1.01E-2</v>
      </c>
      <c r="G33">
        <f t="shared" si="10"/>
        <v>1.0138888888888888</v>
      </c>
      <c r="H33">
        <v>1</v>
      </c>
      <c r="I33">
        <f t="shared" si="11"/>
        <v>0.95051467372899634</v>
      </c>
      <c r="J33" s="4">
        <f t="shared" si="12"/>
        <v>959924.29850984225</v>
      </c>
      <c r="K33" s="4">
        <f t="shared" si="13"/>
        <v>-960019.82046628615</v>
      </c>
    </row>
    <row r="34" spans="2:11">
      <c r="B34">
        <f t="shared" si="9"/>
        <v>5</v>
      </c>
      <c r="C34">
        <f t="shared" si="14"/>
        <v>6</v>
      </c>
      <c r="D34" s="4">
        <f t="shared" si="8"/>
        <v>100000000</v>
      </c>
      <c r="E34" s="6">
        <f t="shared" si="15"/>
        <v>9.9606526522175182E-3</v>
      </c>
      <c r="F34" s="5">
        <v>1.01E-2</v>
      </c>
      <c r="G34">
        <f t="shared" si="10"/>
        <v>1.0138888888888888</v>
      </c>
      <c r="H34">
        <v>1</v>
      </c>
      <c r="I34">
        <f t="shared" si="11"/>
        <v>0.94091543074389805</v>
      </c>
      <c r="J34" s="4">
        <f t="shared" si="12"/>
        <v>950230.0277706479</v>
      </c>
      <c r="K34" s="4">
        <f t="shared" si="13"/>
        <v>-950324.58505133702</v>
      </c>
    </row>
    <row r="35" spans="2:11">
      <c r="B35">
        <f t="shared" si="9"/>
        <v>6</v>
      </c>
      <c r="C35">
        <f t="shared" si="14"/>
        <v>7</v>
      </c>
      <c r="D35" s="4">
        <f t="shared" si="8"/>
        <v>100000000</v>
      </c>
      <c r="E35" s="6">
        <f t="shared" si="15"/>
        <v>9.9606526522175182E-3</v>
      </c>
      <c r="F35" s="5">
        <v>1.01E-2</v>
      </c>
      <c r="G35">
        <f t="shared" si="10"/>
        <v>1.0138888888888888</v>
      </c>
      <c r="H35">
        <v>1</v>
      </c>
      <c r="I35">
        <f t="shared" si="11"/>
        <v>0.93141313046619156</v>
      </c>
      <c r="J35" s="4">
        <f t="shared" si="12"/>
        <v>940633.65942367411</v>
      </c>
      <c r="K35" s="4">
        <f t="shared" si="13"/>
        <v>-940727.26177085354</v>
      </c>
    </row>
    <row r="36" spans="2:11">
      <c r="B36">
        <f t="shared" si="9"/>
        <v>7</v>
      </c>
      <c r="C36">
        <f t="shared" si="14"/>
        <v>8</v>
      </c>
      <c r="D36" s="4">
        <f t="shared" si="8"/>
        <v>100000000</v>
      </c>
      <c r="E36" s="6">
        <f t="shared" si="15"/>
        <v>9.9606526522176275E-3</v>
      </c>
      <c r="F36" s="5">
        <v>1.01E-2</v>
      </c>
      <c r="G36">
        <f t="shared" si="10"/>
        <v>1.0138888888888888</v>
      </c>
      <c r="H36">
        <v>1</v>
      </c>
      <c r="I36">
        <f t="shared" si="11"/>
        <v>0.92200679387195472</v>
      </c>
      <c r="J36" s="4">
        <f t="shared" si="12"/>
        <v>931134.20475314604</v>
      </c>
      <c r="K36" s="4">
        <f t="shared" si="13"/>
        <v>-931226.86181067431</v>
      </c>
    </row>
    <row r="37" spans="2:11">
      <c r="B37">
        <f t="shared" si="9"/>
        <v>8</v>
      </c>
      <c r="C37">
        <f t="shared" si="14"/>
        <v>9</v>
      </c>
      <c r="D37" s="4">
        <f t="shared" si="8"/>
        <v>100000000</v>
      </c>
      <c r="E37" s="6">
        <f t="shared" si="15"/>
        <v>9.9606526522175182E-3</v>
      </c>
      <c r="F37" s="5">
        <v>1.01E-2</v>
      </c>
      <c r="G37">
        <f t="shared" si="10"/>
        <v>1.0138888888888888</v>
      </c>
      <c r="H37">
        <v>1</v>
      </c>
      <c r="I37">
        <f t="shared" si="11"/>
        <v>0.91269545182442335</v>
      </c>
      <c r="J37" s="4">
        <f t="shared" si="12"/>
        <v>921730.68502829445</v>
      </c>
      <c r="K37" s="4">
        <f t="shared" si="13"/>
        <v>-921822.40634266764</v>
      </c>
    </row>
    <row r="38" spans="2:11">
      <c r="B38">
        <f t="shared" si="9"/>
        <v>9</v>
      </c>
      <c r="C38">
        <f t="shared" si="14"/>
        <v>10</v>
      </c>
      <c r="D38" s="4">
        <f t="shared" si="8"/>
        <v>100000000</v>
      </c>
      <c r="E38" s="6">
        <f t="shared" si="15"/>
        <v>9.9606526522174089E-3</v>
      </c>
      <c r="F38" s="5">
        <v>1.01E-2</v>
      </c>
      <c r="G38">
        <f t="shared" si="10"/>
        <v>1.0138888888888888</v>
      </c>
      <c r="H38">
        <v>1</v>
      </c>
      <c r="I38">
        <f t="shared" si="11"/>
        <v>0.90347814497414047</v>
      </c>
      <c r="J38" s="4">
        <f t="shared" si="12"/>
        <v>912422.13140259858</v>
      </c>
      <c r="K38" s="4">
        <f t="shared" si="13"/>
        <v>-912512.9264238819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B2:L59"/>
  <sheetViews>
    <sheetView workbookViewId="0">
      <selection activeCell="F1" sqref="F1"/>
    </sheetView>
  </sheetViews>
  <sheetFormatPr baseColWidth="10" defaultRowHeight="14.4"/>
  <cols>
    <col min="2" max="2" width="14.5546875" bestFit="1" customWidth="1"/>
    <col min="3" max="4" width="16.44140625" bestFit="1" customWidth="1"/>
    <col min="8" max="9" width="14.5546875" bestFit="1" customWidth="1"/>
    <col min="10" max="12" width="14.33203125" bestFit="1" customWidth="1"/>
  </cols>
  <sheetData>
    <row r="2" spans="2:12">
      <c r="B2" s="3" t="s">
        <v>13</v>
      </c>
      <c r="C2" s="6">
        <v>1.0050335853501452E-2</v>
      </c>
    </row>
    <row r="3" spans="2:12">
      <c r="B3" s="3" t="s">
        <v>65</v>
      </c>
      <c r="C3" s="6">
        <f>C42</f>
        <v>6.3569683314059185E-3</v>
      </c>
    </row>
    <row r="4" spans="2:12">
      <c r="B4" s="3" t="s">
        <v>16</v>
      </c>
      <c r="C4" s="2">
        <v>100000000</v>
      </c>
    </row>
    <row r="5" spans="2:12">
      <c r="D5" s="3" t="s">
        <v>20</v>
      </c>
    </row>
    <row r="6" spans="2:12">
      <c r="B6" s="3" t="s">
        <v>14</v>
      </c>
      <c r="C6" s="4">
        <f>SUM(K11:K20)</f>
        <v>9658018.0567762572</v>
      </c>
      <c r="D6" s="4">
        <f>C26-C6</f>
        <v>-5259.4310260359198</v>
      </c>
    </row>
    <row r="7" spans="2:12">
      <c r="B7" s="3" t="s">
        <v>15</v>
      </c>
      <c r="C7" s="4">
        <f>SUM(L11:L20)</f>
        <v>-9658018.056776261</v>
      </c>
      <c r="D7" s="4">
        <f>C27-C7</f>
        <v>5259.4310260340571</v>
      </c>
    </row>
    <row r="8" spans="2:12">
      <c r="B8" s="3" t="s">
        <v>19</v>
      </c>
      <c r="C8" s="4">
        <f>C6+C7</f>
        <v>0</v>
      </c>
      <c r="D8" s="4">
        <f>SUM(D6:D7)</f>
        <v>-1.862645149230957E-9</v>
      </c>
    </row>
    <row r="10" spans="2:12">
      <c r="B10" s="3" t="s">
        <v>17</v>
      </c>
      <c r="C10" s="3" t="s">
        <v>18</v>
      </c>
      <c r="D10" s="3" t="s">
        <v>1</v>
      </c>
      <c r="E10" s="3" t="s">
        <v>8</v>
      </c>
      <c r="F10" s="3" t="s">
        <v>12</v>
      </c>
      <c r="G10" s="3" t="s">
        <v>9</v>
      </c>
      <c r="H10" s="3" t="s">
        <v>10</v>
      </c>
      <c r="I10" s="3" t="s">
        <v>11</v>
      </c>
      <c r="J10" s="3" t="s">
        <v>21</v>
      </c>
      <c r="K10" s="3" t="s">
        <v>14</v>
      </c>
      <c r="L10" s="3" t="s">
        <v>15</v>
      </c>
    </row>
    <row r="11" spans="2:12">
      <c r="B11">
        <f>C11-1</f>
        <v>0</v>
      </c>
      <c r="C11">
        <v>1</v>
      </c>
      <c r="D11" s="4">
        <f t="shared" ref="D11:D20" si="0">$C$4</f>
        <v>100000000</v>
      </c>
      <c r="E11" s="6">
        <f>(1-I11)/G11</f>
        <v>9.8630136986301454E-3</v>
      </c>
      <c r="F11" s="5">
        <v>0.01</v>
      </c>
      <c r="G11">
        <f>(C11-B11)*365/360</f>
        <v>1.0138888888888888</v>
      </c>
      <c r="H11">
        <v>1</v>
      </c>
      <c r="I11">
        <f t="shared" ref="I11:I20" si="1">EXP(-$C$2*C11)</f>
        <v>0.99</v>
      </c>
      <c r="J11">
        <f t="shared" ref="J11:J20" si="2">H50</f>
        <v>0.9936631944444444</v>
      </c>
      <c r="K11" s="4">
        <f>J11*E11*G11*D11</f>
        <v>993663.19444444531</v>
      </c>
      <c r="L11" s="4">
        <f>-J11*F11*H11*D11</f>
        <v>-993663.19444444438</v>
      </c>
    </row>
    <row r="12" spans="2:12">
      <c r="B12">
        <f t="shared" ref="B12:B20" si="3">C12-1</f>
        <v>1</v>
      </c>
      <c r="C12">
        <f>C11+1</f>
        <v>2</v>
      </c>
      <c r="D12" s="4">
        <f t="shared" si="0"/>
        <v>100000000</v>
      </c>
      <c r="E12" s="6">
        <f>(1-I12/I11)/G12</f>
        <v>9.8630136986301454E-3</v>
      </c>
      <c r="F12" s="5">
        <v>0.01</v>
      </c>
      <c r="G12">
        <f t="shared" ref="G12:G20" si="4">(C12-B12)*365/360</f>
        <v>1.0138888888888888</v>
      </c>
      <c r="H12">
        <v>1</v>
      </c>
      <c r="I12">
        <f t="shared" si="1"/>
        <v>0.98009999999999997</v>
      </c>
      <c r="J12">
        <f t="shared" si="2"/>
        <v>0.98736654399353785</v>
      </c>
      <c r="K12" s="4">
        <f t="shared" ref="K12:K20" si="5">J12*E12*G12*D12</f>
        <v>987366.54399353871</v>
      </c>
      <c r="L12" s="4">
        <f t="shared" ref="L12:L20" si="6">-J12*F12*H12*D12</f>
        <v>-987366.54399353778</v>
      </c>
    </row>
    <row r="13" spans="2:12">
      <c r="B13">
        <f t="shared" si="3"/>
        <v>2</v>
      </c>
      <c r="C13">
        <f t="shared" ref="C13:C20" si="7">C12+1</f>
        <v>3</v>
      </c>
      <c r="D13" s="4">
        <f t="shared" si="0"/>
        <v>100000000</v>
      </c>
      <c r="E13" s="6">
        <f t="shared" ref="E13:E20" si="8">(1-I13/I12)/G13</f>
        <v>9.8630136986301454E-3</v>
      </c>
      <c r="F13" s="5">
        <v>0.01</v>
      </c>
      <c r="G13">
        <f t="shared" si="4"/>
        <v>1.0138888888888888</v>
      </c>
      <c r="H13">
        <v>1</v>
      </c>
      <c r="I13">
        <f t="shared" si="1"/>
        <v>0.97029899999999991</v>
      </c>
      <c r="J13">
        <f t="shared" si="2"/>
        <v>0.98110979419218991</v>
      </c>
      <c r="K13" s="4">
        <f t="shared" si="5"/>
        <v>981109.79419219075</v>
      </c>
      <c r="L13" s="4">
        <f t="shared" si="6"/>
        <v>-981109.79419218993</v>
      </c>
    </row>
    <row r="14" spans="2:12">
      <c r="B14">
        <f t="shared" si="3"/>
        <v>3</v>
      </c>
      <c r="C14">
        <f t="shared" si="7"/>
        <v>4</v>
      </c>
      <c r="D14" s="4">
        <f t="shared" si="0"/>
        <v>100000000</v>
      </c>
      <c r="E14" s="6">
        <f t="shared" si="8"/>
        <v>9.8630136986301454E-3</v>
      </c>
      <c r="F14" s="5">
        <v>0.01</v>
      </c>
      <c r="G14">
        <f t="shared" si="4"/>
        <v>1.0138888888888888</v>
      </c>
      <c r="H14">
        <v>1</v>
      </c>
      <c r="I14">
        <f t="shared" si="1"/>
        <v>0.96059600999999994</v>
      </c>
      <c r="J14">
        <f t="shared" si="2"/>
        <v>0.97489269219774277</v>
      </c>
      <c r="K14" s="4">
        <f t="shared" si="5"/>
        <v>974892.69219774357</v>
      </c>
      <c r="L14" s="4">
        <f t="shared" si="6"/>
        <v>-974892.69219774287</v>
      </c>
    </row>
    <row r="15" spans="2:12">
      <c r="B15">
        <f t="shared" si="3"/>
        <v>4</v>
      </c>
      <c r="C15">
        <f t="shared" si="7"/>
        <v>5</v>
      </c>
      <c r="D15" s="4">
        <f t="shared" si="0"/>
        <v>100000000</v>
      </c>
      <c r="E15" s="6">
        <f t="shared" si="8"/>
        <v>9.8630136986301454E-3</v>
      </c>
      <c r="F15" s="5">
        <v>0.01</v>
      </c>
      <c r="G15">
        <f t="shared" si="4"/>
        <v>1.0138888888888888</v>
      </c>
      <c r="H15">
        <v>1</v>
      </c>
      <c r="I15">
        <f t="shared" si="1"/>
        <v>0.95099004989999991</v>
      </c>
      <c r="J15">
        <f t="shared" si="2"/>
        <v>0.96871498676975365</v>
      </c>
      <c r="K15" s="4">
        <f t="shared" si="5"/>
        <v>968714.98676975444</v>
      </c>
      <c r="L15" s="4">
        <f t="shared" si="6"/>
        <v>-968714.98676975362</v>
      </c>
    </row>
    <row r="16" spans="2:12">
      <c r="B16">
        <f t="shared" si="3"/>
        <v>5</v>
      </c>
      <c r="C16">
        <f t="shared" si="7"/>
        <v>6</v>
      </c>
      <c r="D16" s="4">
        <f t="shared" si="0"/>
        <v>100000000</v>
      </c>
      <c r="E16" s="6">
        <f t="shared" si="8"/>
        <v>9.8630136986301454E-3</v>
      </c>
      <c r="F16" s="5">
        <v>0.01</v>
      </c>
      <c r="G16">
        <f t="shared" si="4"/>
        <v>1.0138888888888888</v>
      </c>
      <c r="H16">
        <v>1</v>
      </c>
      <c r="I16">
        <f t="shared" si="1"/>
        <v>0.94148014940099989</v>
      </c>
      <c r="J16">
        <f t="shared" si="2"/>
        <v>0.96257642825984113</v>
      </c>
      <c r="K16" s="4">
        <f t="shared" si="5"/>
        <v>962576.42825984186</v>
      </c>
      <c r="L16" s="4">
        <f t="shared" si="6"/>
        <v>-962576.42825984117</v>
      </c>
    </row>
    <row r="17" spans="2:12">
      <c r="B17">
        <f t="shared" si="3"/>
        <v>6</v>
      </c>
      <c r="C17">
        <f t="shared" si="7"/>
        <v>7</v>
      </c>
      <c r="D17" s="4">
        <f t="shared" si="0"/>
        <v>100000000</v>
      </c>
      <c r="E17" s="6">
        <f t="shared" si="8"/>
        <v>9.8630136986301454E-3</v>
      </c>
      <c r="F17" s="5">
        <v>0.01</v>
      </c>
      <c r="G17">
        <f t="shared" si="4"/>
        <v>1.0138888888888888</v>
      </c>
      <c r="H17">
        <v>1</v>
      </c>
      <c r="I17">
        <f t="shared" si="1"/>
        <v>0.93206534790698992</v>
      </c>
      <c r="J17">
        <f t="shared" si="2"/>
        <v>0.95647676860159736</v>
      </c>
      <c r="K17" s="4">
        <f t="shared" si="5"/>
        <v>956476.76860159822</v>
      </c>
      <c r="L17" s="4">
        <f t="shared" si="6"/>
        <v>-956476.76860159729</v>
      </c>
    </row>
    <row r="18" spans="2:12">
      <c r="B18">
        <f t="shared" si="3"/>
        <v>7</v>
      </c>
      <c r="C18">
        <f t="shared" si="7"/>
        <v>8</v>
      </c>
      <c r="D18" s="4">
        <f t="shared" si="0"/>
        <v>100000000</v>
      </c>
      <c r="E18" s="6">
        <f t="shared" si="8"/>
        <v>9.8630136986300361E-3</v>
      </c>
      <c r="F18" s="5">
        <v>0.01</v>
      </c>
      <c r="G18">
        <f t="shared" si="4"/>
        <v>1.0138888888888888</v>
      </c>
      <c r="H18">
        <v>1</v>
      </c>
      <c r="I18">
        <f t="shared" si="1"/>
        <v>0.92274469442792006</v>
      </c>
      <c r="J18">
        <f t="shared" si="2"/>
        <v>0.95041576130056293</v>
      </c>
      <c r="K18" s="4">
        <f t="shared" si="5"/>
        <v>950415.7613005531</v>
      </c>
      <c r="L18" s="4">
        <f t="shared" si="6"/>
        <v>-950415.761300563</v>
      </c>
    </row>
    <row r="19" spans="2:12">
      <c r="B19">
        <f t="shared" si="3"/>
        <v>8</v>
      </c>
      <c r="C19">
        <f t="shared" si="7"/>
        <v>9</v>
      </c>
      <c r="D19" s="4">
        <f t="shared" si="0"/>
        <v>100000000</v>
      </c>
      <c r="E19" s="6">
        <f t="shared" si="8"/>
        <v>9.8630136986301454E-3</v>
      </c>
      <c r="F19" s="5">
        <v>0.01</v>
      </c>
      <c r="G19">
        <f t="shared" si="4"/>
        <v>1.0138888888888888</v>
      </c>
      <c r="H19">
        <v>1</v>
      </c>
      <c r="I19">
        <f t="shared" si="1"/>
        <v>0.91351724748364083</v>
      </c>
      <c r="J19">
        <f t="shared" si="2"/>
        <v>0.94439316142426599</v>
      </c>
      <c r="K19" s="4">
        <f t="shared" si="5"/>
        <v>944393.16142426664</v>
      </c>
      <c r="L19" s="4">
        <f t="shared" si="6"/>
        <v>-944393.16142426594</v>
      </c>
    </row>
    <row r="20" spans="2:12">
      <c r="B20">
        <f t="shared" si="3"/>
        <v>9</v>
      </c>
      <c r="C20">
        <f t="shared" si="7"/>
        <v>10</v>
      </c>
      <c r="D20" s="4">
        <f t="shared" si="0"/>
        <v>100000000</v>
      </c>
      <c r="E20" s="6">
        <f t="shared" si="8"/>
        <v>9.8630136986301454E-3</v>
      </c>
      <c r="F20" s="5">
        <v>0.01</v>
      </c>
      <c r="G20">
        <f t="shared" si="4"/>
        <v>1.0138888888888888</v>
      </c>
      <c r="H20">
        <v>1</v>
      </c>
      <c r="I20">
        <f t="shared" si="1"/>
        <v>0.90438207500880441</v>
      </c>
      <c r="J20">
        <f t="shared" si="2"/>
        <v>0.93840872559232402</v>
      </c>
      <c r="K20" s="4">
        <f t="shared" si="5"/>
        <v>938408.72559232486</v>
      </c>
      <c r="L20" s="4">
        <f t="shared" si="6"/>
        <v>-938408.72559232404</v>
      </c>
    </row>
    <row r="22" spans="2:12">
      <c r="B22" s="3" t="s">
        <v>13</v>
      </c>
      <c r="C22" s="6">
        <f>C2+D22</f>
        <v>1.0050335853501452E-2</v>
      </c>
      <c r="D22" s="7">
        <v>0</v>
      </c>
    </row>
    <row r="23" spans="2:12">
      <c r="B23" s="3" t="s">
        <v>65</v>
      </c>
      <c r="C23" s="6">
        <f>C42+D23</f>
        <v>6.4569683314059188E-3</v>
      </c>
      <c r="D23" s="7">
        <v>1E-4</v>
      </c>
    </row>
    <row r="24" spans="2:12">
      <c r="B24" s="3" t="s">
        <v>16</v>
      </c>
      <c r="C24" s="2">
        <v>100000000</v>
      </c>
    </row>
    <row r="26" spans="2:12">
      <c r="B26" s="3" t="s">
        <v>14</v>
      </c>
      <c r="C26" s="4">
        <f>SUM(K31:K40)</f>
        <v>9652758.6257502213</v>
      </c>
    </row>
    <row r="27" spans="2:12">
      <c r="B27" s="3" t="s">
        <v>15</v>
      </c>
      <c r="C27" s="4">
        <f>SUM(L31:L40)</f>
        <v>-9652758.6257502269</v>
      </c>
    </row>
    <row r="28" spans="2:12">
      <c r="B28" s="3" t="s">
        <v>19</v>
      </c>
      <c r="C28" s="4">
        <f>C26+C27</f>
        <v>0</v>
      </c>
    </row>
    <row r="30" spans="2:12">
      <c r="B30" s="3" t="s">
        <v>17</v>
      </c>
      <c r="C30" s="3" t="s">
        <v>18</v>
      </c>
      <c r="D30" s="3" t="s">
        <v>1</v>
      </c>
      <c r="E30" s="3" t="s">
        <v>8</v>
      </c>
      <c r="F30" s="3" t="s">
        <v>12</v>
      </c>
      <c r="G30" s="3" t="s">
        <v>9</v>
      </c>
      <c r="H30" s="3" t="s">
        <v>10</v>
      </c>
      <c r="I30" s="3" t="s">
        <v>11</v>
      </c>
      <c r="J30" s="3" t="s">
        <v>21</v>
      </c>
      <c r="K30" s="3" t="s">
        <v>14</v>
      </c>
      <c r="L30" s="3" t="s">
        <v>15</v>
      </c>
    </row>
    <row r="31" spans="2:12">
      <c r="B31">
        <f>C31-1</f>
        <v>0</v>
      </c>
      <c r="C31">
        <v>1</v>
      </c>
      <c r="D31" s="4">
        <f t="shared" ref="D31:D40" si="9">$C$4</f>
        <v>100000000</v>
      </c>
      <c r="E31" s="6">
        <f>(1-I31)/G31</f>
        <v>9.8630136986301454E-3</v>
      </c>
      <c r="F31" s="5">
        <f>F11</f>
        <v>0.01</v>
      </c>
      <c r="G31">
        <f>(C31-B31)*365/360</f>
        <v>1.0138888888888888</v>
      </c>
      <c r="H31">
        <v>1</v>
      </c>
      <c r="I31">
        <f>EXP(-$C$22*C31)</f>
        <v>0.99</v>
      </c>
      <c r="J31">
        <f>EXP(-$C$23*C31)</f>
        <v>0.99356383309315033</v>
      </c>
      <c r="K31" s="4">
        <f>J31*E31*G31*D31</f>
        <v>993563.83309315098</v>
      </c>
      <c r="L31" s="4">
        <f>-J31*F31*H31*D31</f>
        <v>-993563.83309315029</v>
      </c>
    </row>
    <row r="32" spans="2:12">
      <c r="B32">
        <f t="shared" ref="B32:B40" si="10">C32-1</f>
        <v>1</v>
      </c>
      <c r="C32">
        <f>C31+1</f>
        <v>2</v>
      </c>
      <c r="D32" s="4">
        <f t="shared" si="9"/>
        <v>100000000</v>
      </c>
      <c r="E32" s="6">
        <f>(1-I32/I31)/G32</f>
        <v>9.8630136986301454E-3</v>
      </c>
      <c r="F32" s="5">
        <f t="shared" ref="F32:F40" si="11">F12</f>
        <v>0.01</v>
      </c>
      <c r="G32">
        <f t="shared" ref="G32:G40" si="12">(C32-B32)*365/360</f>
        <v>1.0138888888888888</v>
      </c>
      <c r="H32">
        <v>1</v>
      </c>
      <c r="I32">
        <f t="shared" ref="I32:I40" si="13">EXP(-$C$22*C32)</f>
        <v>0.98009999999999997</v>
      </c>
      <c r="J32">
        <f t="shared" ref="J32:J40" si="14">EXP(-$C$23*C32)</f>
        <v>0.98716909043075352</v>
      </c>
      <c r="K32" s="4">
        <f t="shared" ref="K32:K40" si="15">J32*E32*G32*D32</f>
        <v>987169.09043075424</v>
      </c>
      <c r="L32" s="4">
        <f t="shared" ref="L32:L40" si="16">-J32*F32*H32*D32</f>
        <v>-987169.09043075354</v>
      </c>
    </row>
    <row r="33" spans="2:12">
      <c r="B33">
        <f t="shared" si="10"/>
        <v>2</v>
      </c>
      <c r="C33">
        <f t="shared" ref="C33:C40" si="17">C32+1</f>
        <v>3</v>
      </c>
      <c r="D33" s="4">
        <f t="shared" si="9"/>
        <v>100000000</v>
      </c>
      <c r="E33" s="6">
        <f t="shared" ref="E33:E40" si="18">(1-I33/I32)/G33</f>
        <v>9.8630136986301454E-3</v>
      </c>
      <c r="F33" s="5">
        <f t="shared" si="11"/>
        <v>0.01</v>
      </c>
      <c r="G33">
        <f t="shared" si="12"/>
        <v>1.0138888888888888</v>
      </c>
      <c r="H33">
        <v>1</v>
      </c>
      <c r="I33">
        <f t="shared" si="13"/>
        <v>0.97029899999999991</v>
      </c>
      <c r="J33">
        <f t="shared" si="14"/>
        <v>0.98081550539945828</v>
      </c>
      <c r="K33" s="4">
        <f t="shared" si="15"/>
        <v>980815.50539945904</v>
      </c>
      <c r="L33" s="4">
        <f t="shared" si="16"/>
        <v>-980815.50539945834</v>
      </c>
    </row>
    <row r="34" spans="2:12">
      <c r="B34">
        <f t="shared" si="10"/>
        <v>3</v>
      </c>
      <c r="C34">
        <f t="shared" si="17"/>
        <v>4</v>
      </c>
      <c r="D34" s="4">
        <f t="shared" si="9"/>
        <v>100000000</v>
      </c>
      <c r="E34" s="6">
        <f t="shared" si="18"/>
        <v>9.8630136986301454E-3</v>
      </c>
      <c r="F34" s="5">
        <f t="shared" si="11"/>
        <v>0.01</v>
      </c>
      <c r="G34">
        <f t="shared" si="12"/>
        <v>1.0138888888888888</v>
      </c>
      <c r="H34">
        <v>1</v>
      </c>
      <c r="I34">
        <f t="shared" si="13"/>
        <v>0.96059600999999994</v>
      </c>
      <c r="J34">
        <f t="shared" si="14"/>
        <v>0.97450281310188125</v>
      </c>
      <c r="K34" s="4">
        <f t="shared" si="15"/>
        <v>974502.813101882</v>
      </c>
      <c r="L34" s="4">
        <f t="shared" si="16"/>
        <v>-974502.8131018813</v>
      </c>
    </row>
    <row r="35" spans="2:12">
      <c r="B35">
        <f t="shared" si="10"/>
        <v>4</v>
      </c>
      <c r="C35">
        <f t="shared" si="17"/>
        <v>5</v>
      </c>
      <c r="D35" s="4">
        <f t="shared" si="9"/>
        <v>100000000</v>
      </c>
      <c r="E35" s="6">
        <f t="shared" si="18"/>
        <v>9.8630136986301454E-3</v>
      </c>
      <c r="F35" s="5">
        <f t="shared" si="11"/>
        <v>0.01</v>
      </c>
      <c r="G35">
        <f t="shared" si="12"/>
        <v>1.0138888888888888</v>
      </c>
      <c r="H35">
        <v>1</v>
      </c>
      <c r="I35">
        <f t="shared" si="13"/>
        <v>0.95099004989999991</v>
      </c>
      <c r="J35">
        <f t="shared" si="14"/>
        <v>0.96823075034556305</v>
      </c>
      <c r="K35" s="4">
        <f t="shared" si="15"/>
        <v>968230.75034556375</v>
      </c>
      <c r="L35" s="4">
        <f t="shared" si="16"/>
        <v>-968230.75034556305</v>
      </c>
    </row>
    <row r="36" spans="2:12">
      <c r="B36">
        <f t="shared" si="10"/>
        <v>5</v>
      </c>
      <c r="C36">
        <f t="shared" si="17"/>
        <v>6</v>
      </c>
      <c r="D36" s="4">
        <f t="shared" si="9"/>
        <v>100000000</v>
      </c>
      <c r="E36" s="6">
        <f t="shared" si="18"/>
        <v>9.8630136986301454E-3</v>
      </c>
      <c r="F36" s="5">
        <f t="shared" si="11"/>
        <v>0.01</v>
      </c>
      <c r="G36">
        <f t="shared" si="12"/>
        <v>1.0138888888888888</v>
      </c>
      <c r="H36">
        <v>1</v>
      </c>
      <c r="I36">
        <f t="shared" si="13"/>
        <v>0.94148014940099989</v>
      </c>
      <c r="J36">
        <f t="shared" si="14"/>
        <v>0.96199905563199473</v>
      </c>
      <c r="K36" s="4">
        <f t="shared" si="15"/>
        <v>961999.05563199555</v>
      </c>
      <c r="L36" s="4">
        <f t="shared" si="16"/>
        <v>-961999.05563199474</v>
      </c>
    </row>
    <row r="37" spans="2:12">
      <c r="B37">
        <f t="shared" si="10"/>
        <v>6</v>
      </c>
      <c r="C37">
        <f t="shared" si="17"/>
        <v>7</v>
      </c>
      <c r="D37" s="4">
        <f t="shared" si="9"/>
        <v>100000000</v>
      </c>
      <c r="E37" s="6">
        <f t="shared" si="18"/>
        <v>9.8630136986301454E-3</v>
      </c>
      <c r="F37" s="5">
        <f t="shared" si="11"/>
        <v>0.01</v>
      </c>
      <c r="G37">
        <f t="shared" si="12"/>
        <v>1.0138888888888888</v>
      </c>
      <c r="H37">
        <v>1</v>
      </c>
      <c r="I37">
        <f t="shared" si="13"/>
        <v>0.93206534790698992</v>
      </c>
      <c r="J37">
        <f t="shared" si="14"/>
        <v>0.95580746914571557</v>
      </c>
      <c r="K37" s="4">
        <f t="shared" si="15"/>
        <v>955807.4691457164</v>
      </c>
      <c r="L37" s="4">
        <f t="shared" si="16"/>
        <v>-955807.46914571547</v>
      </c>
    </row>
    <row r="38" spans="2:12">
      <c r="B38">
        <f t="shared" si="10"/>
        <v>7</v>
      </c>
      <c r="C38">
        <f t="shared" si="17"/>
        <v>8</v>
      </c>
      <c r="D38" s="4">
        <f t="shared" si="9"/>
        <v>100000000</v>
      </c>
      <c r="E38" s="6">
        <f t="shared" si="18"/>
        <v>9.8630136986300361E-3</v>
      </c>
      <c r="F38" s="5">
        <f t="shared" si="11"/>
        <v>0.01</v>
      </c>
      <c r="G38">
        <f t="shared" si="12"/>
        <v>1.0138888888888888</v>
      </c>
      <c r="H38">
        <v>1</v>
      </c>
      <c r="I38">
        <f t="shared" si="13"/>
        <v>0.92274469442792006</v>
      </c>
      <c r="J38">
        <f t="shared" si="14"/>
        <v>0.94965573274348014</v>
      </c>
      <c r="K38" s="4">
        <f t="shared" si="15"/>
        <v>949655.73274347035</v>
      </c>
      <c r="L38" s="4">
        <f t="shared" si="16"/>
        <v>-949655.73274348024</v>
      </c>
    </row>
    <row r="39" spans="2:12">
      <c r="B39">
        <f t="shared" si="10"/>
        <v>8</v>
      </c>
      <c r="C39">
        <f t="shared" si="17"/>
        <v>9</v>
      </c>
      <c r="D39" s="4">
        <f t="shared" si="9"/>
        <v>100000000</v>
      </c>
      <c r="E39" s="6">
        <f t="shared" si="18"/>
        <v>9.8630136986301454E-3</v>
      </c>
      <c r="F39" s="5">
        <f t="shared" si="11"/>
        <v>0.01</v>
      </c>
      <c r="G39">
        <f t="shared" si="12"/>
        <v>1.0138888888888888</v>
      </c>
      <c r="H39">
        <v>1</v>
      </c>
      <c r="I39">
        <f t="shared" si="13"/>
        <v>0.91351724748364083</v>
      </c>
      <c r="J39">
        <f t="shared" si="14"/>
        <v>0.94354358994349652</v>
      </c>
      <c r="K39" s="4">
        <f t="shared" si="15"/>
        <v>943543.58994349733</v>
      </c>
      <c r="L39" s="4">
        <f t="shared" si="16"/>
        <v>-943543.58994349651</v>
      </c>
    </row>
    <row r="40" spans="2:12">
      <c r="B40">
        <f t="shared" si="10"/>
        <v>9</v>
      </c>
      <c r="C40">
        <f t="shared" si="17"/>
        <v>10</v>
      </c>
      <c r="D40" s="4">
        <f t="shared" si="9"/>
        <v>100000000</v>
      </c>
      <c r="E40" s="6">
        <f t="shared" si="18"/>
        <v>9.8630136986301454E-3</v>
      </c>
      <c r="F40" s="5">
        <f t="shared" si="11"/>
        <v>0.01</v>
      </c>
      <c r="G40">
        <f t="shared" si="12"/>
        <v>1.0138888888888888</v>
      </c>
      <c r="H40">
        <v>1</v>
      </c>
      <c r="I40">
        <f t="shared" si="13"/>
        <v>0.90438207500880441</v>
      </c>
      <c r="J40">
        <f t="shared" si="14"/>
        <v>0.9374707859147321</v>
      </c>
      <c r="K40" s="4">
        <f t="shared" si="15"/>
        <v>937470.78591473273</v>
      </c>
      <c r="L40" s="4">
        <f t="shared" si="16"/>
        <v>-937470.78591473203</v>
      </c>
    </row>
    <row r="42" spans="2:12">
      <c r="B42" s="3" t="s">
        <v>13</v>
      </c>
      <c r="C42" s="6">
        <v>6.3569683314059185E-3</v>
      </c>
    </row>
    <row r="43" spans="2:12">
      <c r="B43" s="3" t="s">
        <v>16</v>
      </c>
      <c r="C43" s="2">
        <v>100000000</v>
      </c>
    </row>
    <row r="45" spans="2:12">
      <c r="B45" s="3" t="s">
        <v>14</v>
      </c>
      <c r="C45" s="4">
        <f>SUM(I50:I59)</f>
        <v>6120098.2477835808</v>
      </c>
    </row>
    <row r="46" spans="2:12">
      <c r="B46" s="3" t="s">
        <v>15</v>
      </c>
      <c r="C46" s="4">
        <f>SUM(J50:J59)</f>
        <v>-6120098.2477835668</v>
      </c>
    </row>
    <row r="47" spans="2:12">
      <c r="B47" s="3" t="s">
        <v>19</v>
      </c>
      <c r="C47" s="4">
        <f>C45+C46</f>
        <v>1.3969838619232178E-8</v>
      </c>
    </row>
    <row r="49" spans="2:10">
      <c r="B49" s="3" t="s">
        <v>17</v>
      </c>
      <c r="C49" s="3" t="s">
        <v>18</v>
      </c>
      <c r="D49" s="3" t="s">
        <v>1</v>
      </c>
      <c r="E49" s="3" t="s">
        <v>8</v>
      </c>
      <c r="F49" s="3" t="s">
        <v>12</v>
      </c>
      <c r="G49" s="3" t="s">
        <v>9</v>
      </c>
      <c r="H49" s="3" t="s">
        <v>11</v>
      </c>
      <c r="I49" s="3" t="s">
        <v>14</v>
      </c>
      <c r="J49" s="3" t="s">
        <v>15</v>
      </c>
    </row>
    <row r="50" spans="2:10">
      <c r="B50">
        <f>C50-1</f>
        <v>0</v>
      </c>
      <c r="C50">
        <v>1</v>
      </c>
      <c r="D50" s="4">
        <f t="shared" ref="D50:D59" si="19">$C$4</f>
        <v>100000000</v>
      </c>
      <c r="E50" s="6">
        <f>(1-H50)/G50</f>
        <v>6.2500000000000463E-3</v>
      </c>
      <c r="F50" s="6">
        <v>6.2500000000000003E-3</v>
      </c>
      <c r="G50">
        <f>(C50-B50)*365/360</f>
        <v>1.0138888888888888</v>
      </c>
      <c r="H50">
        <f t="shared" ref="H50:H59" si="20">EXP(-$C$42*C50)</f>
        <v>0.9936631944444444</v>
      </c>
      <c r="I50" s="4">
        <f t="shared" ref="I50:I59" si="21">H50*E50*G50*D50</f>
        <v>629665.04509066814</v>
      </c>
      <c r="J50" s="4">
        <f>-H50*F50*G50*D50</f>
        <v>-629665.0450906636</v>
      </c>
    </row>
    <row r="51" spans="2:10">
      <c r="B51">
        <f t="shared" ref="B51:B59" si="22">C51-1</f>
        <v>1</v>
      </c>
      <c r="C51">
        <f>C50+1</f>
        <v>2</v>
      </c>
      <c r="D51" s="4">
        <f t="shared" si="19"/>
        <v>100000000</v>
      </c>
      <c r="E51" s="6">
        <f t="shared" ref="E51:E59" si="23">(1-H51/H50)/G51</f>
        <v>6.249999999999937E-3</v>
      </c>
      <c r="F51" s="6">
        <v>6.2500000000000003E-3</v>
      </c>
      <c r="G51">
        <f t="shared" ref="G51:G59" si="24">(C51-B51)*365/360</f>
        <v>1.0138888888888888</v>
      </c>
      <c r="H51">
        <f t="shared" si="20"/>
        <v>0.98736654399353785</v>
      </c>
      <c r="I51" s="4">
        <f t="shared" si="21"/>
        <v>625674.98013478762</v>
      </c>
      <c r="J51" s="4">
        <f t="shared" ref="J51:J59" si="25">-H51*F51*G51*D51</f>
        <v>-625674.98013479402</v>
      </c>
    </row>
    <row r="52" spans="2:10">
      <c r="B52">
        <f t="shared" si="22"/>
        <v>2</v>
      </c>
      <c r="C52">
        <f t="shared" ref="C52:C59" si="26">C51+1</f>
        <v>3</v>
      </c>
      <c r="D52" s="4">
        <f t="shared" si="19"/>
        <v>100000000</v>
      </c>
      <c r="E52" s="6">
        <f t="shared" si="23"/>
        <v>6.2500000000000463E-3</v>
      </c>
      <c r="F52" s="6">
        <v>6.2500000000000003E-3</v>
      </c>
      <c r="G52">
        <f t="shared" si="24"/>
        <v>1.0138888888888888</v>
      </c>
      <c r="H52">
        <f t="shared" si="20"/>
        <v>0.98110979419218991</v>
      </c>
      <c r="I52" s="4">
        <f t="shared" si="21"/>
        <v>621710.19944470818</v>
      </c>
      <c r="J52" s="4">
        <f t="shared" si="25"/>
        <v>-621710.19944470364</v>
      </c>
    </row>
    <row r="53" spans="2:10">
      <c r="B53">
        <f t="shared" si="22"/>
        <v>3</v>
      </c>
      <c r="C53">
        <f t="shared" si="26"/>
        <v>4</v>
      </c>
      <c r="D53" s="4">
        <f t="shared" si="19"/>
        <v>100000000</v>
      </c>
      <c r="E53" s="6">
        <f t="shared" si="23"/>
        <v>6.2500000000001565E-3</v>
      </c>
      <c r="F53" s="6">
        <v>6.2500000000000003E-3</v>
      </c>
      <c r="G53">
        <f t="shared" si="24"/>
        <v>1.0138888888888888</v>
      </c>
      <c r="H53">
        <f t="shared" si="20"/>
        <v>0.97489269219774277</v>
      </c>
      <c r="I53" s="4">
        <f t="shared" si="21"/>
        <v>617770.54279893229</v>
      </c>
      <c r="J53" s="4">
        <f t="shared" si="25"/>
        <v>-617770.54279891693</v>
      </c>
    </row>
    <row r="54" spans="2:10">
      <c r="B54">
        <f t="shared" si="22"/>
        <v>4</v>
      </c>
      <c r="C54">
        <f t="shared" si="26"/>
        <v>5</v>
      </c>
      <c r="D54" s="4">
        <f t="shared" si="19"/>
        <v>100000000</v>
      </c>
      <c r="E54" s="6">
        <f t="shared" si="23"/>
        <v>6.249999999999937E-3</v>
      </c>
      <c r="F54" s="6">
        <v>6.2500000000000003E-3</v>
      </c>
      <c r="G54">
        <f t="shared" si="24"/>
        <v>1.0138888888888888</v>
      </c>
      <c r="H54">
        <f t="shared" si="20"/>
        <v>0.96871498676975365</v>
      </c>
      <c r="I54" s="4">
        <f t="shared" si="21"/>
        <v>613855.85099124396</v>
      </c>
      <c r="J54" s="4">
        <f t="shared" si="25"/>
        <v>-613855.85099125013</v>
      </c>
    </row>
    <row r="55" spans="2:10">
      <c r="B55">
        <f t="shared" si="22"/>
        <v>5</v>
      </c>
      <c r="C55">
        <f t="shared" si="26"/>
        <v>6</v>
      </c>
      <c r="D55" s="4">
        <f t="shared" si="19"/>
        <v>100000000</v>
      </c>
      <c r="E55" s="6">
        <f t="shared" si="23"/>
        <v>6.2500000000000463E-3</v>
      </c>
      <c r="F55" s="6">
        <v>6.2500000000000003E-3</v>
      </c>
      <c r="G55">
        <f t="shared" si="24"/>
        <v>1.0138888888888888</v>
      </c>
      <c r="H55">
        <f t="shared" si="20"/>
        <v>0.96257642825984113</v>
      </c>
      <c r="I55" s="4">
        <f t="shared" si="21"/>
        <v>609965.96582438296</v>
      </c>
      <c r="J55" s="4">
        <f t="shared" si="25"/>
        <v>-609965.96582437854</v>
      </c>
    </row>
    <row r="56" spans="2:10">
      <c r="B56">
        <f t="shared" si="22"/>
        <v>6</v>
      </c>
      <c r="C56">
        <f t="shared" si="26"/>
        <v>7</v>
      </c>
      <c r="D56" s="4">
        <f t="shared" si="19"/>
        <v>100000000</v>
      </c>
      <c r="E56" s="6">
        <f t="shared" si="23"/>
        <v>6.249999999999937E-3</v>
      </c>
      <c r="F56" s="6">
        <v>6.2500000000000003E-3</v>
      </c>
      <c r="G56">
        <f t="shared" si="24"/>
        <v>1.0138888888888888</v>
      </c>
      <c r="H56">
        <f t="shared" si="20"/>
        <v>0.95647676860159736</v>
      </c>
      <c r="I56" s="4">
        <f t="shared" si="21"/>
        <v>606100.73010343674</v>
      </c>
      <c r="J56" s="4">
        <f t="shared" si="25"/>
        <v>-606100.73010344279</v>
      </c>
    </row>
    <row r="57" spans="2:10">
      <c r="B57">
        <f t="shared" si="22"/>
        <v>7</v>
      </c>
      <c r="C57">
        <f t="shared" si="26"/>
        <v>8</v>
      </c>
      <c r="D57" s="4">
        <f t="shared" si="19"/>
        <v>100000000</v>
      </c>
      <c r="E57" s="6">
        <f t="shared" si="23"/>
        <v>6.2500000000000463E-3</v>
      </c>
      <c r="F57" s="6">
        <v>6.2500000000000003E-3</v>
      </c>
      <c r="G57">
        <f t="shared" si="24"/>
        <v>1.0138888888888888</v>
      </c>
      <c r="H57">
        <f t="shared" si="20"/>
        <v>0.95041576130056293</v>
      </c>
      <c r="I57" s="4">
        <f t="shared" si="21"/>
        <v>602259.98762970138</v>
      </c>
      <c r="J57" s="4">
        <f t="shared" si="25"/>
        <v>-602259.98762969696</v>
      </c>
    </row>
    <row r="58" spans="2:10">
      <c r="B58">
        <f t="shared" si="22"/>
        <v>8</v>
      </c>
      <c r="C58">
        <f t="shared" si="26"/>
        <v>9</v>
      </c>
      <c r="D58" s="4">
        <f t="shared" si="19"/>
        <v>100000000</v>
      </c>
      <c r="E58" s="6">
        <f t="shared" si="23"/>
        <v>6.249999999999937E-3</v>
      </c>
      <c r="F58" s="6">
        <v>6.2500000000000003E-3</v>
      </c>
      <c r="G58">
        <f t="shared" si="24"/>
        <v>1.0138888888888888</v>
      </c>
      <c r="H58">
        <f t="shared" si="20"/>
        <v>0.94439316142426599</v>
      </c>
      <c r="I58" s="4">
        <f t="shared" si="21"/>
        <v>598443.58319419029</v>
      </c>
      <c r="J58" s="4">
        <f t="shared" si="25"/>
        <v>-598443.58319419634</v>
      </c>
    </row>
    <row r="59" spans="2:10">
      <c r="B59">
        <f t="shared" si="22"/>
        <v>9</v>
      </c>
      <c r="C59">
        <f t="shared" si="26"/>
        <v>10</v>
      </c>
      <c r="D59" s="4">
        <f t="shared" si="19"/>
        <v>100000000</v>
      </c>
      <c r="E59" s="6">
        <f t="shared" si="23"/>
        <v>6.2500000000000463E-3</v>
      </c>
      <c r="F59" s="6">
        <v>6.2500000000000003E-3</v>
      </c>
      <c r="G59">
        <f t="shared" si="24"/>
        <v>1.0138888888888888</v>
      </c>
      <c r="H59">
        <f t="shared" si="20"/>
        <v>0.93840872559232402</v>
      </c>
      <c r="I59" s="4">
        <f t="shared" si="21"/>
        <v>594651.36257152911</v>
      </c>
      <c r="J59" s="4">
        <f t="shared" si="25"/>
        <v>-594651.36257152469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B1:K24"/>
  <sheetViews>
    <sheetView topLeftCell="H1" workbookViewId="0">
      <selection activeCell="T18" sqref="T18"/>
    </sheetView>
  </sheetViews>
  <sheetFormatPr baseColWidth="10" defaultRowHeight="14.4"/>
  <cols>
    <col min="2" max="2" width="14.5546875" bestFit="1" customWidth="1"/>
    <col min="3" max="3" width="16.44140625" bestFit="1" customWidth="1"/>
    <col min="4" max="4" width="17.44140625" bestFit="1" customWidth="1"/>
    <col min="5" max="5" width="15.33203125" bestFit="1" customWidth="1"/>
    <col min="8" max="9" width="15.33203125" bestFit="1" customWidth="1"/>
    <col min="10" max="10" width="14.88671875" bestFit="1" customWidth="1"/>
    <col min="11" max="11" width="11.6640625" bestFit="1" customWidth="1"/>
  </cols>
  <sheetData>
    <row r="1" spans="2:10">
      <c r="F1" s="3" t="s">
        <v>64</v>
      </c>
      <c r="G1" s="3" t="s">
        <v>27</v>
      </c>
      <c r="H1" s="3" t="s">
        <v>32</v>
      </c>
      <c r="I1" s="3" t="s">
        <v>31</v>
      </c>
      <c r="J1" s="3" t="s">
        <v>63</v>
      </c>
    </row>
    <row r="2" spans="2:10">
      <c r="B2" s="3" t="s">
        <v>13</v>
      </c>
      <c r="C2" s="8">
        <v>1.4701402852892183E-2</v>
      </c>
      <c r="F2" s="7">
        <v>0.01</v>
      </c>
      <c r="G2" s="27">
        <v>0.509973661438336</v>
      </c>
      <c r="H2" s="28">
        <f>BS($C$4,F2,$G$2,$C$10,$C$11)*$C$3*$C$7</f>
        <v>3572137.0658159791</v>
      </c>
      <c r="I2" s="28">
        <f t="shared" ref="I2:I12" si="0">Bachelier($C$4,F2,$D$9,$C$10,$C$11)*$C$3*$C$7</f>
        <v>3572137.0658159889</v>
      </c>
      <c r="J2" s="28">
        <f>I2-H2</f>
        <v>9.7788870334625244E-9</v>
      </c>
    </row>
    <row r="3" spans="2:10">
      <c r="B3" s="3" t="s">
        <v>1</v>
      </c>
      <c r="C3" s="2">
        <v>100000000</v>
      </c>
      <c r="F3" s="7">
        <f>F2+0.1%</f>
        <v>1.0999999999999999E-2</v>
      </c>
      <c r="G3" s="27">
        <v>0.48519049433508582</v>
      </c>
      <c r="H3" s="28">
        <f>BS($C$4,F3,G3,$C$10,$C$11)*$C$3*$C$7</f>
        <v>3293131.0014709546</v>
      </c>
      <c r="I3" s="28">
        <f t="shared" si="0"/>
        <v>3293131.0014709565</v>
      </c>
      <c r="J3" s="28">
        <f t="shared" ref="J3:J11" si="1">I3-H3</f>
        <v>0</v>
      </c>
    </row>
    <row r="4" spans="2:10">
      <c r="B4" s="3" t="s">
        <v>22</v>
      </c>
      <c r="C4" s="8">
        <v>1.481E-2</v>
      </c>
      <c r="F4" s="7">
        <f t="shared" ref="F4:F12" si="2">F3+0.1%</f>
        <v>1.2E-2</v>
      </c>
      <c r="G4" s="27">
        <v>0.46347914845149418</v>
      </c>
      <c r="H4" s="28">
        <f t="shared" ref="H4:H12" si="3">BS($C$4,F4,G4,$C$10,$C$11)*$C$3*$C$7</f>
        <v>3026967.2362592723</v>
      </c>
      <c r="I4" s="28">
        <f t="shared" si="0"/>
        <v>3026967.2365906881</v>
      </c>
      <c r="J4" s="28">
        <f t="shared" si="1"/>
        <v>3.3141579478979111E-4</v>
      </c>
    </row>
    <row r="5" spans="2:10">
      <c r="B5" s="3" t="s">
        <v>29</v>
      </c>
      <c r="C5" s="8">
        <v>1.481E-2</v>
      </c>
      <c r="F5" s="7">
        <f t="shared" si="2"/>
        <v>1.3000000000000001E-2</v>
      </c>
      <c r="G5" s="27">
        <v>0.44424305133934489</v>
      </c>
      <c r="H5" s="28">
        <f t="shared" si="3"/>
        <v>2773890.0900410051</v>
      </c>
      <c r="I5" s="28">
        <f t="shared" si="0"/>
        <v>2773890.0900410078</v>
      </c>
      <c r="J5" s="28">
        <f t="shared" si="1"/>
        <v>0</v>
      </c>
    </row>
    <row r="6" spans="2:10">
      <c r="F6" s="7">
        <f t="shared" si="2"/>
        <v>1.4000000000000002E-2</v>
      </c>
      <c r="G6" s="27">
        <v>0.42703811637158906</v>
      </c>
      <c r="H6" s="28">
        <f t="shared" si="3"/>
        <v>2534072.8167113024</v>
      </c>
      <c r="I6" s="28">
        <f t="shared" si="0"/>
        <v>2534072.8169047106</v>
      </c>
      <c r="J6" s="28">
        <f t="shared" si="1"/>
        <v>1.9340822473168373E-4</v>
      </c>
    </row>
    <row r="7" spans="2:10">
      <c r="B7" s="3" t="s">
        <v>24</v>
      </c>
      <c r="C7">
        <f>SUM(I20:I24)</f>
        <v>4.4461689298443527</v>
      </c>
      <c r="F7" s="7">
        <f t="shared" si="2"/>
        <v>1.5000000000000003E-2</v>
      </c>
      <c r="G7" s="27">
        <v>0.41152564862289109</v>
      </c>
      <c r="H7" s="28">
        <f t="shared" si="3"/>
        <v>2307614.6873507216</v>
      </c>
      <c r="I7" s="28">
        <f t="shared" si="0"/>
        <v>2307614.6873519816</v>
      </c>
      <c r="J7" s="28">
        <f t="shared" si="1"/>
        <v>1.2600794434547424E-6</v>
      </c>
    </row>
    <row r="8" spans="2:10">
      <c r="C8" s="3" t="s">
        <v>31</v>
      </c>
      <c r="D8" s="3" t="s">
        <v>32</v>
      </c>
      <c r="F8" s="7">
        <f t="shared" si="2"/>
        <v>1.6000000000000004E-2</v>
      </c>
      <c r="G8" s="27">
        <v>0.39744197818691129</v>
      </c>
      <c r="H8" s="28">
        <f t="shared" si="3"/>
        <v>2094539.3013338917</v>
      </c>
      <c r="I8" s="28">
        <f t="shared" si="0"/>
        <v>2094539.3013338908</v>
      </c>
      <c r="J8" s="28">
        <f t="shared" si="1"/>
        <v>0</v>
      </c>
    </row>
    <row r="9" spans="2:10">
      <c r="B9" s="3" t="s">
        <v>27</v>
      </c>
      <c r="C9" s="1">
        <v>0.4</v>
      </c>
      <c r="D9" s="8">
        <f>C9*C4</f>
        <v>5.9240000000000004E-3</v>
      </c>
      <c r="F9" s="7">
        <f t="shared" si="2"/>
        <v>1.7000000000000005E-2</v>
      </c>
      <c r="G9" s="27">
        <v>0.38457820095807038</v>
      </c>
      <c r="H9" s="28">
        <f t="shared" si="3"/>
        <v>1894794.1866984824</v>
      </c>
      <c r="I9" s="28">
        <f t="shared" si="0"/>
        <v>1894794.1866944365</v>
      </c>
      <c r="J9" s="28">
        <f t="shared" si="1"/>
        <v>-4.0458980947732925E-6</v>
      </c>
    </row>
    <row r="10" spans="2:10">
      <c r="B10" s="3" t="s">
        <v>28</v>
      </c>
      <c r="C10">
        <v>5</v>
      </c>
      <c r="F10" s="7">
        <f t="shared" si="2"/>
        <v>1.8000000000000006E-2</v>
      </c>
      <c r="G10" s="27">
        <v>0.37276626199457741</v>
      </c>
      <c r="H10" s="28">
        <f t="shared" si="3"/>
        <v>1708251.6921325945</v>
      </c>
      <c r="I10" s="28">
        <f t="shared" si="0"/>
        <v>1708251.6920859374</v>
      </c>
      <c r="J10" s="28">
        <f t="shared" si="1"/>
        <v>-4.6657165512442589E-5</v>
      </c>
    </row>
    <row r="11" spans="2:10">
      <c r="B11" s="3" t="s">
        <v>30</v>
      </c>
      <c r="C11">
        <v>1</v>
      </c>
      <c r="F11" s="7">
        <f t="shared" si="2"/>
        <v>1.9000000000000006E-2</v>
      </c>
      <c r="G11" s="27">
        <v>0.36186915280840842</v>
      </c>
      <c r="H11" s="28">
        <f t="shared" si="3"/>
        <v>1534711.1494761242</v>
      </c>
      <c r="I11" s="28">
        <f t="shared" si="0"/>
        <v>1534711.1494111905</v>
      </c>
      <c r="J11" s="28">
        <f t="shared" si="1"/>
        <v>-6.4933672547340393E-5</v>
      </c>
    </row>
    <row r="12" spans="2:10">
      <c r="C12" s="3" t="s">
        <v>31</v>
      </c>
      <c r="D12" s="3" t="s">
        <v>32</v>
      </c>
      <c r="F12" s="7">
        <f t="shared" si="2"/>
        <v>2.0000000000000007E-2</v>
      </c>
      <c r="G12" s="27">
        <v>0.35177385318269316</v>
      </c>
      <c r="H12" s="28">
        <f t="shared" si="3"/>
        <v>1373902.2448542889</v>
      </c>
      <c r="I12" s="28">
        <f t="shared" si="0"/>
        <v>1373902.2448542891</v>
      </c>
      <c r="J12" s="28">
        <f>I12-H12</f>
        <v>0</v>
      </c>
    </row>
    <row r="13" spans="2:10">
      <c r="B13" s="3" t="s">
        <v>26</v>
      </c>
      <c r="C13" s="29">
        <f>BS(C4,C5,C9,C10,C11)*C3*C7</f>
        <v>2273585.9503481733</v>
      </c>
      <c r="D13" s="28">
        <f>Bachelier(C4,C5,D9,C10,C11)*C3*C7</f>
        <v>2349611.5982608879</v>
      </c>
      <c r="E13" s="28">
        <f>NORMDIST(0,0,1,FALSE)*D9*SQRT(C10)*C3*C7</f>
        <v>2349611.5982608874</v>
      </c>
    </row>
    <row r="15" spans="2:10">
      <c r="B15" s="3" t="s">
        <v>14</v>
      </c>
      <c r="C15" s="10">
        <f>SUM(J20:J24)</f>
        <v>6584776.1850992851</v>
      </c>
    </row>
    <row r="16" spans="2:10">
      <c r="B16" s="3" t="s">
        <v>15</v>
      </c>
      <c r="C16" s="10">
        <f>SUM(K20:K24)</f>
        <v>-6584776.1850994863</v>
      </c>
    </row>
    <row r="17" spans="2:11">
      <c r="B17" s="3" t="s">
        <v>25</v>
      </c>
      <c r="C17" s="10">
        <f>C15+C16</f>
        <v>-2.0116567611694336E-7</v>
      </c>
    </row>
    <row r="19" spans="2:11">
      <c r="B19" s="3" t="s">
        <v>17</v>
      </c>
      <c r="C19" s="3" t="s">
        <v>18</v>
      </c>
      <c r="D19" s="3" t="s">
        <v>1</v>
      </c>
      <c r="E19" s="3" t="s">
        <v>8</v>
      </c>
      <c r="F19" s="3" t="s">
        <v>12</v>
      </c>
      <c r="G19" s="3" t="s">
        <v>23</v>
      </c>
      <c r="H19" s="3" t="s">
        <v>10</v>
      </c>
      <c r="I19" s="3" t="s">
        <v>21</v>
      </c>
      <c r="J19" s="3" t="s">
        <v>14</v>
      </c>
      <c r="K19" s="3" t="s">
        <v>15</v>
      </c>
    </row>
    <row r="20" spans="2:11">
      <c r="B20">
        <f>C20-1</f>
        <v>5</v>
      </c>
      <c r="C20">
        <v>6</v>
      </c>
      <c r="D20" s="4">
        <f>$C$3</f>
        <v>100000000</v>
      </c>
      <c r="E20" s="6">
        <f>(EXP($C$2*(C20-B20))-1)/G20</f>
        <v>1.4607123287670786E-2</v>
      </c>
      <c r="F20" s="8">
        <f>$C$5</f>
        <v>1.481E-2</v>
      </c>
      <c r="G20">
        <f>(C20-B20)*365/360</f>
        <v>1.0138888888888888</v>
      </c>
      <c r="H20">
        <v>1</v>
      </c>
      <c r="I20">
        <f>EXP(-C20*$C$2)</f>
        <v>0.91557003636910328</v>
      </c>
      <c r="J20" s="9">
        <f>D20*E20*G20*I20</f>
        <v>1355959.2238626005</v>
      </c>
      <c r="K20" s="9">
        <f>-D20*F20*H20*I20</f>
        <v>-1355959.223862642</v>
      </c>
    </row>
    <row r="21" spans="2:11">
      <c r="B21">
        <f t="shared" ref="B21:B24" si="4">C21-1</f>
        <v>6</v>
      </c>
      <c r="C21">
        <v>7</v>
      </c>
      <c r="D21" s="4">
        <f t="shared" ref="D21:D24" si="5">$C$3</f>
        <v>100000000</v>
      </c>
      <c r="E21" s="6">
        <f t="shared" ref="E21:E24" si="6">(EXP($C$2*(C21-B21))-1)/G21</f>
        <v>1.4607123287670786E-2</v>
      </c>
      <c r="F21" s="8">
        <f t="shared" ref="F21:F24" si="7">$C$5</f>
        <v>1.481E-2</v>
      </c>
      <c r="G21">
        <f t="shared" ref="G21:G24" si="8">(C21-B21)*365/360</f>
        <v>1.0138888888888888</v>
      </c>
      <c r="H21">
        <v>1</v>
      </c>
      <c r="I21">
        <f t="shared" ref="I21:I24" si="9">EXP(-C21*$C$2)</f>
        <v>0.90220833098718356</v>
      </c>
      <c r="J21" s="9">
        <f t="shared" ref="J21:J24" si="10">D21*E21*G21*I21</f>
        <v>1336170.5381919781</v>
      </c>
      <c r="K21" s="9">
        <f t="shared" ref="K21:K24" si="11">-D21*F21*H21*I21</f>
        <v>-1336170.5381920189</v>
      </c>
    </row>
    <row r="22" spans="2:11">
      <c r="B22">
        <f t="shared" si="4"/>
        <v>7</v>
      </c>
      <c r="C22">
        <v>8</v>
      </c>
      <c r="D22" s="4">
        <f t="shared" si="5"/>
        <v>100000000</v>
      </c>
      <c r="E22" s="6">
        <f t="shared" si="6"/>
        <v>1.4607123287670786E-2</v>
      </c>
      <c r="F22" s="8">
        <f t="shared" si="7"/>
        <v>1.481E-2</v>
      </c>
      <c r="G22">
        <f t="shared" si="8"/>
        <v>1.0138888888888888</v>
      </c>
      <c r="H22">
        <v>1</v>
      </c>
      <c r="I22">
        <f t="shared" si="9"/>
        <v>0.88904162452792546</v>
      </c>
      <c r="J22" s="9">
        <f t="shared" si="10"/>
        <v>1316670.6459258175</v>
      </c>
      <c r="K22" s="9">
        <f t="shared" si="11"/>
        <v>-1316670.6459258576</v>
      </c>
    </row>
    <row r="23" spans="2:11">
      <c r="B23">
        <f t="shared" si="4"/>
        <v>8</v>
      </c>
      <c r="C23">
        <v>9</v>
      </c>
      <c r="D23" s="4">
        <f t="shared" si="5"/>
        <v>100000000</v>
      </c>
      <c r="E23" s="6">
        <f t="shared" si="6"/>
        <v>1.4607123287670786E-2</v>
      </c>
      <c r="F23" s="8">
        <f t="shared" si="7"/>
        <v>1.481E-2</v>
      </c>
      <c r="G23">
        <f t="shared" si="8"/>
        <v>1.0138888888888888</v>
      </c>
      <c r="H23">
        <v>1</v>
      </c>
      <c r="I23">
        <f t="shared" si="9"/>
        <v>0.87606707120340355</v>
      </c>
      <c r="J23" s="9">
        <f t="shared" si="10"/>
        <v>1297455.3324522011</v>
      </c>
      <c r="K23" s="9">
        <f t="shared" si="11"/>
        <v>-1297455.3324522406</v>
      </c>
    </row>
    <row r="24" spans="2:11">
      <c r="B24">
        <f t="shared" si="4"/>
        <v>9</v>
      </c>
      <c r="C24">
        <v>10</v>
      </c>
      <c r="D24" s="4">
        <f t="shared" si="5"/>
        <v>100000000</v>
      </c>
      <c r="E24" s="6">
        <f t="shared" si="6"/>
        <v>1.4607123287670786E-2</v>
      </c>
      <c r="F24" s="8">
        <f t="shared" si="7"/>
        <v>1.481E-2</v>
      </c>
      <c r="G24">
        <f t="shared" si="8"/>
        <v>1.0138888888888888</v>
      </c>
      <c r="H24">
        <v>1</v>
      </c>
      <c r="I24">
        <f t="shared" si="9"/>
        <v>0.86328186675673679</v>
      </c>
      <c r="J24" s="9">
        <f t="shared" si="10"/>
        <v>1278520.4446666881</v>
      </c>
      <c r="K24" s="9">
        <f t="shared" si="11"/>
        <v>-1278520.4446667272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B2:J32"/>
  <sheetViews>
    <sheetView workbookViewId="0">
      <selection activeCell="J1" sqref="J1"/>
    </sheetView>
  </sheetViews>
  <sheetFormatPr baseColWidth="10" defaultRowHeight="14.4"/>
  <cols>
    <col min="2" max="2" width="19.88671875" bestFit="1" customWidth="1"/>
    <col min="3" max="3" width="14.33203125" bestFit="1" customWidth="1"/>
    <col min="7" max="8" width="15.109375" bestFit="1" customWidth="1"/>
    <col min="9" max="9" width="19.33203125" bestFit="1" customWidth="1"/>
    <col min="10" max="10" width="12.88671875" bestFit="1" customWidth="1"/>
  </cols>
  <sheetData>
    <row r="2" spans="2:10">
      <c r="B2" s="3" t="s">
        <v>33</v>
      </c>
      <c r="C2" s="7">
        <v>0.01</v>
      </c>
    </row>
    <row r="3" spans="2:10">
      <c r="B3" s="3" t="s">
        <v>34</v>
      </c>
      <c r="C3" s="7">
        <v>0.01</v>
      </c>
    </row>
    <row r="4" spans="2:10">
      <c r="B4" s="3" t="s">
        <v>1</v>
      </c>
      <c r="C4" s="9">
        <v>100000000</v>
      </c>
    </row>
    <row r="5" spans="2:10">
      <c r="B5" s="3" t="s">
        <v>38</v>
      </c>
      <c r="C5" s="1">
        <v>0.4</v>
      </c>
    </row>
    <row r="6" spans="2:10">
      <c r="B6" s="3" t="s">
        <v>37</v>
      </c>
      <c r="C6" s="7">
        <v>1.6632040594654722E-2</v>
      </c>
      <c r="D6" s="5">
        <f>C2/(1-C5)</f>
        <v>1.6666666666666666E-2</v>
      </c>
    </row>
    <row r="7" spans="2:10">
      <c r="B7" s="3"/>
      <c r="C7" s="1"/>
    </row>
    <row r="8" spans="2:10">
      <c r="B8" s="3" t="s">
        <v>40</v>
      </c>
      <c r="C8" s="10">
        <f>SUM(I13:I32)</f>
        <v>4665829.6680167262</v>
      </c>
    </row>
    <row r="9" spans="2:10">
      <c r="B9" s="3" t="s">
        <v>41</v>
      </c>
      <c r="C9" s="4">
        <f>SUM(J13:J32)</f>
        <v>-4665829.6680167112</v>
      </c>
    </row>
    <row r="10" spans="2:10">
      <c r="B10" s="3" t="s">
        <v>43</v>
      </c>
      <c r="C10" s="4">
        <f>C8+C9</f>
        <v>1.4901161193847656E-8</v>
      </c>
    </row>
    <row r="11" spans="2:10">
      <c r="B11" s="3"/>
      <c r="C11" s="1"/>
    </row>
    <row r="12" spans="2:10">
      <c r="B12" s="3" t="s">
        <v>28</v>
      </c>
      <c r="C12" s="3" t="s">
        <v>1</v>
      </c>
      <c r="D12" s="3" t="s">
        <v>42</v>
      </c>
      <c r="E12" s="3" t="s">
        <v>35</v>
      </c>
      <c r="F12" s="3" t="s">
        <v>11</v>
      </c>
      <c r="G12" s="3" t="s">
        <v>36</v>
      </c>
      <c r="H12" s="3" t="s">
        <v>39</v>
      </c>
      <c r="I12" s="3" t="s">
        <v>40</v>
      </c>
      <c r="J12" s="3" t="s">
        <v>41</v>
      </c>
    </row>
    <row r="13" spans="2:10">
      <c r="B13">
        <v>0.25</v>
      </c>
      <c r="C13" s="10">
        <f>$C$4</f>
        <v>100000000</v>
      </c>
      <c r="D13" s="1">
        <f>$C$3</f>
        <v>0.01</v>
      </c>
      <c r="E13">
        <v>0.25</v>
      </c>
      <c r="F13">
        <f t="shared" ref="F13:F32" si="0">EXP(-B13*$C$2)</f>
        <v>0.99750312239746008</v>
      </c>
      <c r="G13">
        <f t="shared" ref="G13:G32" si="1">EXP(-$C$6*B13)</f>
        <v>0.99585062240663902</v>
      </c>
      <c r="H13" s="25">
        <f>1-G13</f>
        <v>4.1493775933609811E-3</v>
      </c>
      <c r="I13" s="22">
        <f>D13*E13*F13*G13*C13</f>
        <v>248341.02632301912</v>
      </c>
      <c r="J13" s="26">
        <f>-H13*C13*(1-$C$5)*F13</f>
        <v>-248341.02632301822</v>
      </c>
    </row>
    <row r="14" spans="2:10">
      <c r="B14">
        <f t="shared" ref="B14:B32" si="2">B13+$B$13</f>
        <v>0.5</v>
      </c>
      <c r="C14" s="10">
        <f t="shared" ref="C14:C32" si="3">$C$4</f>
        <v>100000000</v>
      </c>
      <c r="D14" s="1">
        <f t="shared" ref="D14:D32" si="4">$C$3</f>
        <v>0.01</v>
      </c>
      <c r="E14">
        <v>0.25</v>
      </c>
      <c r="F14">
        <f t="shared" si="0"/>
        <v>0.99501247919268232</v>
      </c>
      <c r="G14">
        <f t="shared" si="1"/>
        <v>0.99171846214769033</v>
      </c>
      <c r="H14" s="25">
        <f>G13-G14</f>
        <v>4.1321602589486917E-3</v>
      </c>
      <c r="I14" s="22">
        <f t="shared" ref="I14:I32" si="5">D14*E14*F14*G14*C14</f>
        <v>246693.06142068192</v>
      </c>
      <c r="J14" s="26">
        <f t="shared" ref="J14:J32" si="6">-H14*C14*(1-$C$5)*F14</f>
        <v>-246693.06142068081</v>
      </c>
    </row>
    <row r="15" spans="2:10">
      <c r="B15">
        <f t="shared" si="2"/>
        <v>0.75</v>
      </c>
      <c r="C15" s="10">
        <f t="shared" si="3"/>
        <v>100000000</v>
      </c>
      <c r="D15" s="1">
        <f t="shared" si="4"/>
        <v>0.01</v>
      </c>
      <c r="E15">
        <v>0.25</v>
      </c>
      <c r="F15">
        <f t="shared" si="0"/>
        <v>0.99252805481913842</v>
      </c>
      <c r="G15">
        <f t="shared" si="1"/>
        <v>0.98760344778193232</v>
      </c>
      <c r="H15" s="25">
        <f t="shared" ref="H15:H32" si="7">G14-G15</f>
        <v>4.1150143657580074E-3</v>
      </c>
      <c r="I15" s="22">
        <f t="shared" si="5"/>
        <v>245056.03223991895</v>
      </c>
      <c r="J15" s="26">
        <f t="shared" si="6"/>
        <v>-245056.03223991636</v>
      </c>
    </row>
    <row r="16" spans="2:10">
      <c r="B16">
        <f t="shared" si="2"/>
        <v>1</v>
      </c>
      <c r="C16" s="10">
        <f t="shared" si="3"/>
        <v>100000000</v>
      </c>
      <c r="D16" s="1">
        <f t="shared" si="4"/>
        <v>0.01</v>
      </c>
      <c r="E16">
        <v>0.25</v>
      </c>
      <c r="F16">
        <f t="shared" si="0"/>
        <v>0.99004983374916811</v>
      </c>
      <c r="G16">
        <f t="shared" si="1"/>
        <v>0.98350550816457982</v>
      </c>
      <c r="H16" s="25">
        <f t="shared" si="7"/>
        <v>4.0979396173524973E-3</v>
      </c>
      <c r="I16" s="22">
        <f t="shared" si="5"/>
        <v>243429.86621243332</v>
      </c>
      <c r="J16" s="26">
        <f t="shared" si="6"/>
        <v>-243429.86621243815</v>
      </c>
    </row>
    <row r="17" spans="2:10">
      <c r="B17">
        <f t="shared" si="2"/>
        <v>1.25</v>
      </c>
      <c r="C17" s="10">
        <f t="shared" si="3"/>
        <v>100000000</v>
      </c>
      <c r="D17" s="1">
        <f t="shared" si="4"/>
        <v>0.01</v>
      </c>
      <c r="E17">
        <v>0.25</v>
      </c>
      <c r="F17">
        <f t="shared" si="0"/>
        <v>0.98757780049388144</v>
      </c>
      <c r="G17">
        <f t="shared" si="1"/>
        <v>0.97942457244605463</v>
      </c>
      <c r="H17" s="25">
        <f t="shared" si="7"/>
        <v>4.0809357185251915E-3</v>
      </c>
      <c r="I17" s="22">
        <f t="shared" si="5"/>
        <v>241814.49125148373</v>
      </c>
      <c r="J17" s="26">
        <f t="shared" si="6"/>
        <v>-241814.49125148158</v>
      </c>
    </row>
    <row r="18" spans="2:10">
      <c r="B18">
        <f t="shared" si="2"/>
        <v>1.5</v>
      </c>
      <c r="C18" s="10">
        <f t="shared" si="3"/>
        <v>100000000</v>
      </c>
      <c r="D18" s="1">
        <f t="shared" si="4"/>
        <v>0.01</v>
      </c>
      <c r="E18">
        <v>0.25</v>
      </c>
      <c r="F18">
        <f t="shared" si="0"/>
        <v>0.98511193960306265</v>
      </c>
      <c r="G18">
        <f t="shared" si="1"/>
        <v>0.97536057007075982</v>
      </c>
      <c r="H18" s="25">
        <f t="shared" si="7"/>
        <v>4.0640023752948062E-3</v>
      </c>
      <c r="I18" s="22">
        <f t="shared" si="5"/>
        <v>240209.83574868878</v>
      </c>
      <c r="J18" s="26">
        <f t="shared" si="6"/>
        <v>-240209.83574868718</v>
      </c>
    </row>
    <row r="19" spans="2:10">
      <c r="B19">
        <f t="shared" si="2"/>
        <v>1.75</v>
      </c>
      <c r="C19" s="10">
        <f t="shared" si="3"/>
        <v>100000000</v>
      </c>
      <c r="D19" s="1">
        <f t="shared" si="4"/>
        <v>0.01</v>
      </c>
      <c r="E19">
        <v>0.25</v>
      </c>
      <c r="F19">
        <f t="shared" si="0"/>
        <v>0.9826522356650732</v>
      </c>
      <c r="G19">
        <f t="shared" si="1"/>
        <v>0.97131343077586041</v>
      </c>
      <c r="H19" s="25">
        <f t="shared" si="7"/>
        <v>4.0471392948994156E-3</v>
      </c>
      <c r="I19" s="22">
        <f t="shared" si="5"/>
        <v>238615.8285708529</v>
      </c>
      <c r="J19" s="26">
        <f t="shared" si="6"/>
        <v>-238615.82857085273</v>
      </c>
    </row>
    <row r="20" spans="2:10">
      <c r="B20">
        <f t="shared" si="2"/>
        <v>2</v>
      </c>
      <c r="C20" s="10">
        <f t="shared" si="3"/>
        <v>100000000</v>
      </c>
      <c r="D20" s="1">
        <f t="shared" si="4"/>
        <v>0.01</v>
      </c>
      <c r="E20">
        <v>0.25</v>
      </c>
      <c r="F20">
        <f t="shared" si="0"/>
        <v>0.98019867330675525</v>
      </c>
      <c r="G20">
        <f t="shared" si="1"/>
        <v>0.96728308459006851</v>
      </c>
      <c r="H20" s="25">
        <f t="shared" si="7"/>
        <v>4.0303461857918998E-3</v>
      </c>
      <c r="I20" s="22">
        <f t="shared" si="5"/>
        <v>237032.39905681278</v>
      </c>
      <c r="J20" s="26">
        <f t="shared" si="6"/>
        <v>-237032.39905680969</v>
      </c>
    </row>
    <row r="21" spans="2:10">
      <c r="B21">
        <f t="shared" si="2"/>
        <v>2.25</v>
      </c>
      <c r="C21" s="10">
        <f t="shared" si="3"/>
        <v>100000000</v>
      </c>
      <c r="D21" s="1">
        <f t="shared" si="4"/>
        <v>0.01</v>
      </c>
      <c r="E21">
        <v>0.25</v>
      </c>
      <c r="F21">
        <f t="shared" si="0"/>
        <v>0.97775123719333634</v>
      </c>
      <c r="G21">
        <f t="shared" si="1"/>
        <v>0.96326946183243334</v>
      </c>
      <c r="H21" s="25">
        <f t="shared" si="7"/>
        <v>4.0136227576351713E-3</v>
      </c>
      <c r="I21" s="22">
        <f t="shared" si="5"/>
        <v>235459.47701430524</v>
      </c>
      <c r="J21" s="26">
        <f t="shared" si="6"/>
        <v>-235459.47701430714</v>
      </c>
    </row>
    <row r="22" spans="2:10">
      <c r="B22">
        <f t="shared" si="2"/>
        <v>2.5</v>
      </c>
      <c r="C22" s="10">
        <f t="shared" si="3"/>
        <v>100000000</v>
      </c>
      <c r="D22" s="1">
        <f t="shared" si="4"/>
        <v>0.01</v>
      </c>
      <c r="E22">
        <v>0.25</v>
      </c>
      <c r="F22">
        <f t="shared" si="0"/>
        <v>0.97530991202833262</v>
      </c>
      <c r="G22">
        <f t="shared" si="1"/>
        <v>0.95927249311113694</v>
      </c>
      <c r="H22" s="25">
        <f t="shared" si="7"/>
        <v>3.9969687212964011E-3</v>
      </c>
      <c r="I22" s="22">
        <f t="shared" si="5"/>
        <v>233896.99271685557</v>
      </c>
      <c r="J22" s="26">
        <f t="shared" si="6"/>
        <v>-233896.9927168554</v>
      </c>
    </row>
    <row r="23" spans="2:10">
      <c r="B23">
        <f t="shared" si="2"/>
        <v>2.75</v>
      </c>
      <c r="C23" s="10">
        <f t="shared" si="3"/>
        <v>100000000</v>
      </c>
      <c r="D23" s="1">
        <f t="shared" si="4"/>
        <v>0.01</v>
      </c>
      <c r="E23">
        <v>0.25</v>
      </c>
      <c r="F23">
        <f t="shared" si="0"/>
        <v>0.972874682553454</v>
      </c>
      <c r="G23">
        <f t="shared" si="1"/>
        <v>0.95529210932229414</v>
      </c>
      <c r="H23" s="25">
        <f t="shared" si="7"/>
        <v>3.9803837888428006E-3</v>
      </c>
      <c r="I23" s="22">
        <f t="shared" si="5"/>
        <v>232344.87690068662</v>
      </c>
      <c r="J23" s="26">
        <f t="shared" si="6"/>
        <v>-232344.87690068121</v>
      </c>
    </row>
    <row r="24" spans="2:10">
      <c r="B24">
        <f t="shared" si="2"/>
        <v>3</v>
      </c>
      <c r="C24" s="10">
        <f t="shared" si="3"/>
        <v>100000000</v>
      </c>
      <c r="D24" s="1">
        <f t="shared" si="4"/>
        <v>0.01</v>
      </c>
      <c r="E24">
        <v>0.25</v>
      </c>
      <c r="F24">
        <f t="shared" si="0"/>
        <v>0.97044553354850815</v>
      </c>
      <c r="G24">
        <f t="shared" si="1"/>
        <v>0.95132824164875762</v>
      </c>
      <c r="H24" s="25">
        <f t="shared" si="7"/>
        <v>3.9638676735365141E-3</v>
      </c>
      <c r="I24" s="22">
        <f t="shared" si="5"/>
        <v>230803.06076164817</v>
      </c>
      <c r="J24" s="26">
        <f t="shared" si="6"/>
        <v>-230803.06076164954</v>
      </c>
    </row>
    <row r="25" spans="2:10">
      <c r="B25">
        <f t="shared" si="2"/>
        <v>3.25</v>
      </c>
      <c r="C25" s="10">
        <f t="shared" si="3"/>
        <v>100000000</v>
      </c>
      <c r="D25" s="1">
        <f t="shared" si="4"/>
        <v>0.01</v>
      </c>
      <c r="E25">
        <v>0.25</v>
      </c>
      <c r="F25">
        <f t="shared" si="0"/>
        <v>0.96802244983130603</v>
      </c>
      <c r="G25">
        <f t="shared" si="1"/>
        <v>0.94738082155892878</v>
      </c>
      <c r="H25" s="25">
        <f t="shared" si="7"/>
        <v>3.9474200898288458E-3</v>
      </c>
      <c r="I25" s="22">
        <f t="shared" si="5"/>
        <v>229271.47595216741</v>
      </c>
      <c r="J25" s="26">
        <f t="shared" si="6"/>
        <v>-229271.47595216602</v>
      </c>
    </row>
    <row r="26" spans="2:10">
      <c r="B26">
        <f t="shared" si="2"/>
        <v>3.5</v>
      </c>
      <c r="C26" s="10">
        <f t="shared" si="3"/>
        <v>100000000</v>
      </c>
      <c r="D26" s="1">
        <f t="shared" si="4"/>
        <v>0.01</v>
      </c>
      <c r="E26">
        <v>0.25</v>
      </c>
      <c r="F26">
        <f t="shared" si="0"/>
        <v>0.96560541625756646</v>
      </c>
      <c r="G26">
        <f t="shared" si="1"/>
        <v>0.94344978080557218</v>
      </c>
      <c r="H26" s="25">
        <f t="shared" si="7"/>
        <v>3.9310407533565961E-3</v>
      </c>
      <c r="I26" s="22">
        <f t="shared" si="5"/>
        <v>227750.05457821861</v>
      </c>
      <c r="J26" s="26">
        <f t="shared" si="6"/>
        <v>-227750.0545782212</v>
      </c>
    </row>
    <row r="27" spans="2:10">
      <c r="B27">
        <f t="shared" si="2"/>
        <v>3.75</v>
      </c>
      <c r="C27" s="10">
        <f t="shared" si="3"/>
        <v>100000000</v>
      </c>
      <c r="D27" s="1">
        <f t="shared" si="4"/>
        <v>0.01</v>
      </c>
      <c r="E27">
        <v>0.25</v>
      </c>
      <c r="F27">
        <f t="shared" si="0"/>
        <v>0.96319441772082182</v>
      </c>
      <c r="G27">
        <f t="shared" si="1"/>
        <v>0.93953505142463623</v>
      </c>
      <c r="H27" s="25">
        <f t="shared" si="7"/>
        <v>3.9147293809359551E-3</v>
      </c>
      <c r="I27" s="22">
        <f t="shared" si="5"/>
        <v>226238.72919631371</v>
      </c>
      <c r="J27" s="26">
        <f t="shared" si="6"/>
        <v>-226238.72919631202</v>
      </c>
    </row>
    <row r="28" spans="2:10">
      <c r="B28">
        <f t="shared" si="2"/>
        <v>4</v>
      </c>
      <c r="C28" s="10">
        <f t="shared" si="3"/>
        <v>100000000</v>
      </c>
      <c r="D28" s="1">
        <f t="shared" si="4"/>
        <v>0.01</v>
      </c>
      <c r="E28">
        <v>0.25</v>
      </c>
      <c r="F28">
        <f t="shared" si="0"/>
        <v>0.96078943915232318</v>
      </c>
      <c r="G28">
        <f t="shared" si="1"/>
        <v>0.93563656573407761</v>
      </c>
      <c r="H28" s="25">
        <f t="shared" si="7"/>
        <v>3.8984856905586174E-3</v>
      </c>
      <c r="I28" s="22">
        <f t="shared" si="5"/>
        <v>224737.43281051258</v>
      </c>
      <c r="J28" s="26">
        <f t="shared" si="6"/>
        <v>-224737.43281051028</v>
      </c>
    </row>
    <row r="29" spans="2:10">
      <c r="B29">
        <f t="shared" si="2"/>
        <v>4.25</v>
      </c>
      <c r="C29" s="10">
        <f t="shared" si="3"/>
        <v>100000000</v>
      </c>
      <c r="D29" s="1">
        <f t="shared" si="4"/>
        <v>0.01</v>
      </c>
      <c r="E29">
        <v>0.25</v>
      </c>
      <c r="F29">
        <f t="shared" si="0"/>
        <v>0.95839046552094698</v>
      </c>
      <c r="G29">
        <f t="shared" si="1"/>
        <v>0.93175425633269138</v>
      </c>
      <c r="H29" s="25">
        <f t="shared" si="7"/>
        <v>3.8823094013862303E-3</v>
      </c>
      <c r="I29" s="22">
        <f t="shared" si="5"/>
        <v>223246.09886945298</v>
      </c>
      <c r="J29" s="26">
        <f t="shared" si="6"/>
        <v>-223246.09886945385</v>
      </c>
    </row>
    <row r="30" spans="2:10">
      <c r="B30">
        <f t="shared" si="2"/>
        <v>4.5</v>
      </c>
      <c r="C30" s="10">
        <f t="shared" si="3"/>
        <v>100000000</v>
      </c>
      <c r="D30" s="1">
        <f t="shared" si="4"/>
        <v>0.01</v>
      </c>
      <c r="E30">
        <v>0.25</v>
      </c>
      <c r="F30">
        <f t="shared" si="0"/>
        <v>0.95599748183309996</v>
      </c>
      <c r="G30">
        <f t="shared" si="1"/>
        <v>0.92788805609894576</v>
      </c>
      <c r="H30" s="25">
        <f t="shared" si="7"/>
        <v>3.8662002337456203E-3</v>
      </c>
      <c r="I30" s="22">
        <f t="shared" si="5"/>
        <v>221764.66126340057</v>
      </c>
      <c r="J30" s="26">
        <f t="shared" si="6"/>
        <v>-221764.6612634013</v>
      </c>
    </row>
    <row r="31" spans="2:10">
      <c r="B31">
        <f t="shared" si="2"/>
        <v>4.75</v>
      </c>
      <c r="C31" s="10">
        <f t="shared" si="3"/>
        <v>100000000</v>
      </c>
      <c r="D31" s="1">
        <f t="shared" si="4"/>
        <v>0.01</v>
      </c>
      <c r="E31">
        <v>0.25</v>
      </c>
      <c r="F31">
        <f t="shared" si="0"/>
        <v>0.95361047313262637</v>
      </c>
      <c r="G31">
        <f t="shared" si="1"/>
        <v>0.92403789818982152</v>
      </c>
      <c r="H31" s="25">
        <f t="shared" si="7"/>
        <v>3.8501579091242411E-3</v>
      </c>
      <c r="I31" s="22">
        <f t="shared" si="5"/>
        <v>220293.05432131834</v>
      </c>
      <c r="J31" s="26">
        <f t="shared" si="6"/>
        <v>-220293.05432131744</v>
      </c>
    </row>
    <row r="32" spans="2:10">
      <c r="B32">
        <f t="shared" si="2"/>
        <v>5</v>
      </c>
      <c r="C32" s="10">
        <f t="shared" si="3"/>
        <v>100000000</v>
      </c>
      <c r="D32" s="1">
        <f t="shared" si="4"/>
        <v>0.01</v>
      </c>
      <c r="E32">
        <v>0.25</v>
      </c>
      <c r="F32">
        <f t="shared" si="0"/>
        <v>0.95122942450071402</v>
      </c>
      <c r="G32">
        <f t="shared" si="1"/>
        <v>0.92020371603965634</v>
      </c>
      <c r="H32" s="25">
        <f t="shared" si="7"/>
        <v>3.8341821501651774E-3</v>
      </c>
      <c r="I32" s="22">
        <f t="shared" si="5"/>
        <v>218831.21280795522</v>
      </c>
      <c r="J32" s="26">
        <f t="shared" si="6"/>
        <v>-218831.2128079519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B2:O28"/>
  <sheetViews>
    <sheetView tabSelected="1" topLeftCell="A2" workbookViewId="0">
      <selection activeCell="E9" sqref="E9"/>
    </sheetView>
  </sheetViews>
  <sheetFormatPr baseColWidth="10" defaultRowHeight="14.4"/>
  <cols>
    <col min="2" max="2" width="12.6640625" bestFit="1" customWidth="1"/>
    <col min="3" max="3" width="17.6640625" bestFit="1" customWidth="1"/>
    <col min="4" max="4" width="8.44140625" bestFit="1" customWidth="1"/>
    <col min="6" max="6" width="13.6640625" bestFit="1" customWidth="1"/>
    <col min="7" max="7" width="10.33203125" bestFit="1" customWidth="1"/>
    <col min="8" max="8" width="8" customWidth="1"/>
    <col min="9" max="9" width="7.88671875" bestFit="1" customWidth="1"/>
    <col min="10" max="10" width="12.5546875" bestFit="1" customWidth="1"/>
    <col min="11" max="11" width="16.33203125" bestFit="1" customWidth="1"/>
    <col min="12" max="12" width="11.6640625" bestFit="1" customWidth="1"/>
    <col min="13" max="13" width="16.5546875" bestFit="1" customWidth="1"/>
    <col min="14" max="14" width="10.44140625" bestFit="1" customWidth="1"/>
    <col min="15" max="15" width="10.109375" bestFit="1" customWidth="1"/>
  </cols>
  <sheetData>
    <row r="2" spans="2:12">
      <c r="B2" s="3" t="s">
        <v>8</v>
      </c>
      <c r="C2" s="7">
        <v>0.01</v>
      </c>
      <c r="F2" s="13"/>
      <c r="G2" s="31" t="s">
        <v>47</v>
      </c>
      <c r="H2" s="31"/>
      <c r="I2" s="31"/>
      <c r="J2" s="31" t="s">
        <v>48</v>
      </c>
      <c r="K2" s="31"/>
      <c r="L2" s="31"/>
    </row>
    <row r="3" spans="2:12">
      <c r="B3" s="3" t="s">
        <v>60</v>
      </c>
      <c r="C3" s="7">
        <v>6.0000000000000001E-3</v>
      </c>
      <c r="F3" s="14"/>
      <c r="G3" s="15"/>
      <c r="H3" s="14" t="s">
        <v>58</v>
      </c>
      <c r="I3" s="14" t="s">
        <v>59</v>
      </c>
      <c r="J3" s="15"/>
      <c r="K3" s="14" t="s">
        <v>58</v>
      </c>
      <c r="L3" s="14" t="s">
        <v>59</v>
      </c>
    </row>
    <row r="4" spans="2:12">
      <c r="B4" s="3" t="s">
        <v>1</v>
      </c>
      <c r="C4" s="9">
        <v>100000000</v>
      </c>
      <c r="F4" s="14" t="s">
        <v>51</v>
      </c>
      <c r="G4" s="24">
        <f>(1-C8)*SUMPRODUCT(J19:J27,O19:O27,C19:C27)</f>
        <v>-193722.85229302451</v>
      </c>
      <c r="H4" s="16">
        <f>(G4/$C$4)*10000</f>
        <v>-19.372285229302452</v>
      </c>
      <c r="I4" s="17">
        <f>H4/SUM($C$19:$C$28)</f>
        <v>-2.0019262853888207</v>
      </c>
      <c r="J4" s="24">
        <f>(1-C8)*SUMPRODUCT(L19:L27,O19:O27,C19:C27)</f>
        <v>-239561.57952186844</v>
      </c>
      <c r="K4" s="16">
        <f>(J4/$C$4)*10000</f>
        <v>-23.956157952186846</v>
      </c>
      <c r="L4" s="17">
        <f>K4/SUM($C$19:$C$28)</f>
        <v>-2.4756223508864852</v>
      </c>
    </row>
    <row r="5" spans="2:12">
      <c r="B5" s="3" t="s">
        <v>46</v>
      </c>
      <c r="C5" s="7">
        <v>5.0000000000000001E-3</v>
      </c>
      <c r="F5" s="14" t="s">
        <v>52</v>
      </c>
      <c r="G5" s="24">
        <f>(1-C8)*SUMPRODUCT(K19:K27,N19:N27,C19:C27)</f>
        <v>19157.598085453814</v>
      </c>
      <c r="H5" s="16">
        <f>(G5/$C$4)*10000</f>
        <v>1.9157598085453815</v>
      </c>
      <c r="I5" s="17">
        <f>H5/SUM($C$19:$C$28)</f>
        <v>0.19797405787817582</v>
      </c>
      <c r="J5" s="24">
        <f>(1-C8)*SUMPRODUCT(M19:M27,N19:N27,C19:C27)</f>
        <v>43021.997090452147</v>
      </c>
      <c r="K5" s="16">
        <f>(J5/$C$4)*10000</f>
        <v>4.3021997090452144</v>
      </c>
      <c r="L5" s="17">
        <f>K5/SUM($C$19:$C$28)</f>
        <v>0.44458805869233392</v>
      </c>
    </row>
    <row r="6" spans="2:12">
      <c r="B6" s="3"/>
      <c r="C6" s="3" t="s">
        <v>47</v>
      </c>
      <c r="D6" s="3" t="s">
        <v>48</v>
      </c>
    </row>
    <row r="7" spans="2:12">
      <c r="B7" s="3" t="s">
        <v>44</v>
      </c>
      <c r="C7" s="1">
        <v>0.4</v>
      </c>
      <c r="D7" s="5">
        <f>C7*C2</f>
        <v>4.0000000000000001E-3</v>
      </c>
      <c r="G7" s="2"/>
    </row>
    <row r="8" spans="2:12">
      <c r="B8" s="3" t="s">
        <v>38</v>
      </c>
      <c r="C8" s="1">
        <v>0.4</v>
      </c>
      <c r="D8" s="5"/>
    </row>
    <row r="9" spans="2:12">
      <c r="B9" s="3" t="s">
        <v>66</v>
      </c>
      <c r="C9" s="2">
        <v>10000000</v>
      </c>
    </row>
    <row r="10" spans="2:12">
      <c r="B10" s="3" t="s">
        <v>67</v>
      </c>
      <c r="C10" s="2">
        <v>10000000</v>
      </c>
    </row>
    <row r="11" spans="2:12">
      <c r="B11" s="3" t="s">
        <v>61</v>
      </c>
      <c r="C11" s="1">
        <v>0.01</v>
      </c>
    </row>
    <row r="12" spans="2:12">
      <c r="B12" s="3" t="s">
        <v>62</v>
      </c>
      <c r="C12" s="1">
        <v>0.01</v>
      </c>
    </row>
    <row r="13" spans="2:12">
      <c r="B13" s="3" t="s">
        <v>19</v>
      </c>
      <c r="C13" s="9">
        <f>SUM(C19:C28)*(G19-H19)*C4</f>
        <v>4886957.0235517938</v>
      </c>
      <c r="I13" s="19"/>
    </row>
    <row r="14" spans="2:12">
      <c r="I14" s="20"/>
    </row>
    <row r="15" spans="2:12">
      <c r="I15" s="21"/>
    </row>
    <row r="16" spans="2:12">
      <c r="I16" s="21"/>
    </row>
    <row r="17" spans="2:15">
      <c r="B17" s="3"/>
    </row>
    <row r="18" spans="2:15">
      <c r="B18" s="3" t="s">
        <v>28</v>
      </c>
      <c r="C18" s="3" t="s">
        <v>21</v>
      </c>
      <c r="D18" s="3" t="s">
        <v>11</v>
      </c>
      <c r="E18" s="3" t="s">
        <v>24</v>
      </c>
      <c r="F18" s="3" t="s">
        <v>1</v>
      </c>
      <c r="G18" s="3" t="s">
        <v>45</v>
      </c>
      <c r="H18" s="3" t="s">
        <v>29</v>
      </c>
      <c r="I18" s="3" t="s">
        <v>53</v>
      </c>
      <c r="J18" s="3" t="s">
        <v>54</v>
      </c>
      <c r="K18" s="3" t="s">
        <v>55</v>
      </c>
      <c r="L18" s="3" t="s">
        <v>56</v>
      </c>
      <c r="M18" s="3" t="s">
        <v>57</v>
      </c>
      <c r="N18" s="3" t="s">
        <v>50</v>
      </c>
      <c r="O18" s="3" t="s">
        <v>49</v>
      </c>
    </row>
    <row r="19" spans="2:15">
      <c r="B19">
        <v>1</v>
      </c>
      <c r="C19" s="11">
        <f>EXP(-$C$3*B19)</f>
        <v>0.99401796405393528</v>
      </c>
      <c r="D19" s="11">
        <f>EXP(-$C$2*B19)</f>
        <v>0.99004983374916811</v>
      </c>
      <c r="E19" s="12">
        <f>SUM(C20:C28)</f>
        <v>8.6828044897458092</v>
      </c>
      <c r="F19" s="9">
        <f>$C$4</f>
        <v>100000000</v>
      </c>
      <c r="G19" s="18">
        <f>(EXP(-B19*$C$2)-EXP(-$B$28*$C$2))/SUM(D20:$D$28)</f>
        <v>1.0050167084168069E-2</v>
      </c>
      <c r="H19" s="18">
        <f>$C$5</f>
        <v>5.0000000000000001E-3</v>
      </c>
      <c r="I19" s="2">
        <f>B19</f>
        <v>1</v>
      </c>
      <c r="J19" s="22">
        <f>-(BS($G19,$H19,$C$7,$B19,1)-BS($G19,$H19+$C$10/$F19/$E19,$C$7,$B19,1))*$F19*$E19</f>
        <v>-4197576.3618479138</v>
      </c>
      <c r="K19" s="23">
        <f>(BS($G19,$H19,$C$7,$B19,-1)-BS($G19,$H19-$C$9/$F19/$E19,$C$7,$B19,-1))*$F19*$E19</f>
        <v>39673.543499947424</v>
      </c>
      <c r="L19" s="22">
        <f>-(Bachelier($G19,$H19,$D$7,$B19,1)-Bachelier($G19,$H19+$C$10/$F19/$E19,$D$7,$B19,1))*$F19*$E19</f>
        <v>-4478508.5714900084</v>
      </c>
      <c r="M19" s="23">
        <f>(Bachelier($G19,$H19,$D$7,$B19,-1)-Bachelier($G19,$H19-$C$9/$F19/$E19,$D$7,$B19,-1))*$F19*$E19</f>
        <v>171128.86192725535</v>
      </c>
      <c r="N19" s="5">
        <f>1-EXP(-$C$11/(1-$C$8)*B19)</f>
        <v>1.6528546178382508E-2</v>
      </c>
      <c r="O19" s="5">
        <f>1-EXP(-$C$12/(1-$C$8)*B19)</f>
        <v>1.6528546178382508E-2</v>
      </c>
    </row>
    <row r="20" spans="2:15">
      <c r="B20">
        <f t="shared" ref="B20:B28" si="0">B19+1</f>
        <v>2</v>
      </c>
      <c r="C20" s="11">
        <f t="shared" ref="C20:C28" si="1">EXP(-$C$3*B20)</f>
        <v>0.98807171286193052</v>
      </c>
      <c r="D20" s="11">
        <f t="shared" ref="D20:D28" si="2">EXP(-$C$2*B20)</f>
        <v>0.98019867330675525</v>
      </c>
      <c r="E20" s="12">
        <f>SUM(C21:C28)</f>
        <v>7.6947327768838782</v>
      </c>
      <c r="F20" s="9">
        <f t="shared" ref="F20:F27" si="3">$C$4</f>
        <v>100000000</v>
      </c>
      <c r="G20" s="18">
        <f>(EXP(-B20*$C$2)-EXP(-$B$28*$C$2))/SUM(D21:$D$28)</f>
        <v>1.0050167084168058E-2</v>
      </c>
      <c r="H20" s="18">
        <f t="shared" ref="H20:H27" si="4">$C$5</f>
        <v>5.0000000000000001E-3</v>
      </c>
      <c r="I20" s="2">
        <f t="shared" ref="I20:I27" si="5">B20</f>
        <v>2</v>
      </c>
      <c r="J20" s="22">
        <f>-(BS($G20,$H20,$C$7,$B20,1)-BS($G20,$H20+$C$10/$F20/$E20,$C$7,$B20,1))*$F20*$E20</f>
        <v>-3593966.1671474138</v>
      </c>
      <c r="K20" s="23">
        <f>(BS($G20,$H20,$C$7,$B20,-1)-BS($G20,$H20-$C$9/$F20/$E20,$C$7,$B20,-1))*$F20*$E20</f>
        <v>157000.16458753849</v>
      </c>
      <c r="L20" s="22">
        <f>-(Bachelier($G20,$H20,$D$7,$B20,1)-Bachelier($G20,$H20+$C$10/$F20/$E20,$D$7,$B20,1))*$F20*$E20</f>
        <v>-4170970.995184646</v>
      </c>
      <c r="M20" s="23">
        <f>(Bachelier($G20,$H20,$D$7,$B20,-1)-Bachelier($G20,$H20-$C$9/$F20/$E20,$D$7,$B20,-1))*$F20*$E20</f>
        <v>442157.62018655101</v>
      </c>
      <c r="N20" s="5">
        <f>EXP(-$C$11/(1-$C$8)*B19)-EXP(-$C$11/(1-$C$8)*B20)</f>
        <v>1.6255353339611589E-2</v>
      </c>
      <c r="O20" s="5">
        <f>EXP(-$C$12/(1-$C$8)*B19)-EXP(-$C$12/(1-$C$8)*B20)</f>
        <v>1.6255353339611589E-2</v>
      </c>
    </row>
    <row r="21" spans="2:15">
      <c r="B21">
        <f t="shared" si="0"/>
        <v>3</v>
      </c>
      <c r="C21" s="11">
        <f t="shared" si="1"/>
        <v>0.98216103235830077</v>
      </c>
      <c r="D21" s="11">
        <f t="shared" si="2"/>
        <v>0.97044553354850815</v>
      </c>
      <c r="E21" s="12">
        <f t="shared" ref="E21:E27" si="6">SUM(C22:C28)</f>
        <v>6.7125717445255768</v>
      </c>
      <c r="F21" s="9">
        <f t="shared" si="3"/>
        <v>100000000</v>
      </c>
      <c r="G21" s="18">
        <f>(EXP(-B21*$C$2)-EXP(-$B$28*$C$2))/SUM(D22:$D$28)</f>
        <v>1.0050167084168062E-2</v>
      </c>
      <c r="H21" s="18">
        <f t="shared" si="4"/>
        <v>5.0000000000000001E-3</v>
      </c>
      <c r="I21" s="2">
        <f t="shared" si="5"/>
        <v>3</v>
      </c>
      <c r="J21" s="22">
        <f>-(BS($G21,$H21,$C$7,$B21,1)-BS($G21,$H21+$C$10/$F21/$E21,$C$7,$B21,1))*$F21*$E21</f>
        <v>-3108525.6421865583</v>
      </c>
      <c r="K21" s="23">
        <f>(BS($G21,$H21,$C$7,$B21,-1)-BS($G21,$H21-$C$9/$F21/$E21,$C$7,$B21,-1))*$F21*$E21</f>
        <v>260550.32417135991</v>
      </c>
      <c r="L21" s="22">
        <f>-(Bachelier($G21,$H21,$D$7,$B21,1)-Bachelier($G21,$H21+$C$10/$F21/$E21,$D$7,$B21,1))*$F21*$E21</f>
        <v>-3859811.5436618123</v>
      </c>
      <c r="M21" s="23">
        <f>(Bachelier($G21,$H21,$D$7,$B21,-1)-Bachelier($G21,$H21-$C$9/$F21/$E21,$D$7,$B21,-1))*$F21*$E21</f>
        <v>629820.42371696711</v>
      </c>
      <c r="N21" s="5">
        <f>EXP(-$C$11/(1-$C$8)*B20)-EXP(-$C$11/(1-$C$8)*B21)</f>
        <v>1.5986675981291887E-2</v>
      </c>
      <c r="O21" s="5">
        <f>EXP(-$C$12/(1-$C$8)*B20)-EXP(-$C$12/(1-$C$8)*B21)</f>
        <v>1.5986675981291887E-2</v>
      </c>
    </row>
    <row r="22" spans="2:15">
      <c r="B22">
        <f t="shared" si="0"/>
        <v>4</v>
      </c>
      <c r="C22" s="11">
        <f t="shared" si="1"/>
        <v>0.97628570975790929</v>
      </c>
      <c r="D22" s="11">
        <f t="shared" si="2"/>
        <v>0.96078943915232318</v>
      </c>
      <c r="E22" s="12">
        <f t="shared" si="6"/>
        <v>5.7362860347676676</v>
      </c>
      <c r="F22" s="9">
        <f t="shared" si="3"/>
        <v>100000000</v>
      </c>
      <c r="G22" s="18">
        <f>(EXP(-B22*$C$2)-EXP(-$B$28*$C$2))/SUM(D23:$D$28)</f>
        <v>1.0050167084168064E-2</v>
      </c>
      <c r="H22" s="18">
        <f t="shared" si="4"/>
        <v>5.0000000000000001E-3</v>
      </c>
      <c r="I22" s="2">
        <f t="shared" si="5"/>
        <v>4</v>
      </c>
      <c r="J22" s="22">
        <f>-(BS($G22,$H22,$C$7,$B22,1)-BS($G22,$H22+$C$10/$F22/$E22,$C$7,$B22,1))*$F22*$E22</f>
        <v>-2682180.8763874443</v>
      </c>
      <c r="K22" s="23">
        <f>(BS($G22,$H22,$C$7,$B22,-1)-BS($G22,$H22-$C$9/$F22/$E22,$C$7,$B22,-1))*$F22*$E22</f>
        <v>327169.30113999319</v>
      </c>
      <c r="L22" s="22">
        <f>-(Bachelier($G22,$H22,$D$7,$B22,1)-Bachelier($G22,$H22+$C$10/$F22/$E22,$D$7,$B22,1))*$F22*$E22</f>
        <v>-3511864.0027019875</v>
      </c>
      <c r="M22" s="23">
        <f>(Bachelier($G22,$H22,$D$7,$B22,-1)-Bachelier($G22,$H22-$C$9/$F22/$E22,$D$7,$B22,-1))*$F22*$E22</f>
        <v>732057.97770492174</v>
      </c>
      <c r="N22" s="5">
        <f>EXP(-$C$11/(1-$C$8)*B21)-EXP(-$C$11/(1-$C$8)*B22)</f>
        <v>1.5722439469096239E-2</v>
      </c>
      <c r="O22" s="5">
        <f>EXP(-$C$12/(1-$C$8)*B21)-EXP(-$C$12/(1-$C$8)*B22)</f>
        <v>1.5722439469096239E-2</v>
      </c>
    </row>
    <row r="23" spans="2:15">
      <c r="B23">
        <f t="shared" si="0"/>
        <v>5</v>
      </c>
      <c r="C23" s="11">
        <f t="shared" si="1"/>
        <v>0.97044553354850815</v>
      </c>
      <c r="D23" s="11">
        <f t="shared" si="2"/>
        <v>0.95122942450071402</v>
      </c>
      <c r="E23" s="12">
        <f t="shared" si="6"/>
        <v>4.7658405012191594</v>
      </c>
      <c r="F23" s="9">
        <f t="shared" si="3"/>
        <v>100000000</v>
      </c>
      <c r="G23" s="18">
        <f>(EXP(-B23*$C$2)-EXP(-$B$28*$C$2))/SUM(D24:$D$28)</f>
        <v>1.0050167084168071E-2</v>
      </c>
      <c r="H23" s="18">
        <f t="shared" si="4"/>
        <v>5.0000000000000001E-3</v>
      </c>
      <c r="I23" s="2">
        <f t="shared" si="5"/>
        <v>5</v>
      </c>
      <c r="J23" s="22">
        <f>-(BS($G23,$H23,$C$7,$B23,1)-BS($G23,$H23+$C$10/$F23/$E23,$C$7,$B23,1))*$F23*$E23</f>
        <v>-2283899.3993885531</v>
      </c>
      <c r="K23" s="23">
        <f>(BS($G23,$H23,$C$7,$B23,-1)-BS($G23,$H23-$C$9/$F23/$E23,$C$7,$B23,-1))*$F23*$E23</f>
        <v>354585.94213764049</v>
      </c>
      <c r="L23" s="22">
        <f>-(Bachelier($G23,$H23,$D$7,$B23,1)-Bachelier($G23,$H23+$C$10/$F23/$E23,$D$7,$B23,1))*$F23*$E23</f>
        <v>-3104304.2340879105</v>
      </c>
      <c r="M23" s="23">
        <f>(Bachelier($G23,$H23,$D$7,$B23,-1)-Bachelier($G23,$H23-$C$9/$F23/$E23,$D$7,$B23,-1))*$F23*$E23</f>
        <v>759023.77327182749</v>
      </c>
      <c r="N23" s="5">
        <f>EXP(-$C$11/(1-$C$8)*B22)-EXP(-$C$11/(1-$C$8)*B23)</f>
        <v>1.5462570402294484E-2</v>
      </c>
      <c r="O23" s="5">
        <f>EXP(-$C$12/(1-$C$8)*B22)-EXP(-$C$12/(1-$C$8)*B23)</f>
        <v>1.5462570402294484E-2</v>
      </c>
    </row>
    <row r="24" spans="2:15">
      <c r="B24">
        <f t="shared" si="0"/>
        <v>6</v>
      </c>
      <c r="C24" s="11">
        <f t="shared" si="1"/>
        <v>0.96464029348312308</v>
      </c>
      <c r="D24" s="11">
        <f t="shared" si="2"/>
        <v>0.94176453358424872</v>
      </c>
      <c r="E24" s="12">
        <f t="shared" si="6"/>
        <v>3.8012002077360361</v>
      </c>
      <c r="F24" s="9">
        <f t="shared" si="3"/>
        <v>100000000</v>
      </c>
      <c r="G24" s="18">
        <f>(EXP(-B24*$C$2)-EXP(-$B$28*$C$2))/SUM(D25:$D$28)</f>
        <v>1.0050167084168076E-2</v>
      </c>
      <c r="H24" s="18">
        <f t="shared" si="4"/>
        <v>5.0000000000000001E-3</v>
      </c>
      <c r="I24" s="2">
        <f t="shared" si="5"/>
        <v>6</v>
      </c>
      <c r="J24" s="22">
        <f>-(BS($G24,$H24,$C$7,$B24,1)-BS($G24,$H24+$C$10/$F24/$E24,$C$7,$B24,1))*$F24*$E24</f>
        <v>-1893211.3347352804</v>
      </c>
      <c r="K24" s="23">
        <f>(BS($G24,$H24,$C$7,$B24,-1)-BS($G24,$H24-$C$9/$F24/$E24,$C$7,$B24,-1))*$F24*$E24</f>
        <v>345079.3408844244</v>
      </c>
      <c r="L24" s="22">
        <f>-(Bachelier($G24,$H24,$D$7,$B24,1)-Bachelier($G24,$H24+$C$10/$F24/$E24,$D$7,$B24,1))*$F24*$E24</f>
        <v>-2618927.6988908849</v>
      </c>
      <c r="M24" s="23">
        <f>(Bachelier($G24,$H24,$D$7,$B24,-1)-Bachelier($G24,$H24-$C$9/$F24/$E24,$D$7,$B24,-1))*$F24*$E24</f>
        <v>718408.95012127224</v>
      </c>
      <c r="N24" s="5">
        <f>EXP(-$C$11/(1-$C$8)*B23)-EXP(-$C$11/(1-$C$8)*B24)</f>
        <v>1.5206996593363775E-2</v>
      </c>
      <c r="O24" s="5">
        <f>EXP(-$C$12/(1-$C$8)*B23)-EXP(-$C$12/(1-$C$8)*B24)</f>
        <v>1.5206996593363775E-2</v>
      </c>
    </row>
    <row r="25" spans="2:15">
      <c r="B25">
        <f t="shared" si="0"/>
        <v>7</v>
      </c>
      <c r="C25" s="11">
        <f t="shared" si="1"/>
        <v>0.95886978057248451</v>
      </c>
      <c r="D25" s="11">
        <f t="shared" si="2"/>
        <v>0.93239381990594827</v>
      </c>
      <c r="E25" s="12">
        <f t="shared" si="6"/>
        <v>2.8423304271635517</v>
      </c>
      <c r="F25" s="9">
        <f t="shared" si="3"/>
        <v>100000000</v>
      </c>
      <c r="G25" s="18">
        <f>(EXP(-B25*$C$2)-EXP(-$B$28*$C$2))/SUM(D26:$D$28)</f>
        <v>1.0050167084168093E-2</v>
      </c>
      <c r="H25" s="18">
        <f t="shared" si="4"/>
        <v>5.0000000000000001E-3</v>
      </c>
      <c r="I25" s="2">
        <f t="shared" si="5"/>
        <v>7</v>
      </c>
      <c r="J25" s="22">
        <f>-(BS($G25,$H25,$C$7,$B25,1)-BS($G25,$H25+$C$10/$F25/$E25,$C$7,$B25,1))*$F25*$E25</f>
        <v>-1492402.1347526368</v>
      </c>
      <c r="K25" s="23">
        <f>(BS($G25,$H25,$C$7,$B25,-1)-BS($G25,$H25-$C$9/$F25/$E25,$C$7,$B25,-1))*$F25*$E25</f>
        <v>301842.34061335766</v>
      </c>
      <c r="L25" s="22">
        <f>-(Bachelier($G25,$H25,$D$7,$B25,1)-Bachelier($G25,$H25+$C$10/$F25/$E25,$D$7,$B25,1))*$F25*$E25</f>
        <v>-2049893.1620606473</v>
      </c>
      <c r="M25" s="23">
        <f>(Bachelier($G25,$H25,$D$7,$B25,-1)-Bachelier($G25,$H25-$C$9/$F25/$E25,$D$7,$B25,-1))*$F25*$E25</f>
        <v>616369.74997600354</v>
      </c>
      <c r="N25" s="5">
        <f>EXP(-$C$11/(1-$C$8)*B24)-EXP(-$C$11/(1-$C$8)*B25)</f>
        <v>1.4955647047935727E-2</v>
      </c>
      <c r="O25" s="5">
        <f>EXP(-$C$12/(1-$C$8)*B24)-EXP(-$C$12/(1-$C$8)*B25)</f>
        <v>1.4955647047935727E-2</v>
      </c>
    </row>
    <row r="26" spans="2:15">
      <c r="B26">
        <f t="shared" si="0"/>
        <v>8</v>
      </c>
      <c r="C26" s="11">
        <f t="shared" si="1"/>
        <v>0.95313378707750473</v>
      </c>
      <c r="D26" s="11">
        <f t="shared" si="2"/>
        <v>0.92311634638663576</v>
      </c>
      <c r="E26" s="12">
        <f t="shared" si="6"/>
        <v>1.8891966400860469</v>
      </c>
      <c r="F26" s="9">
        <f t="shared" si="3"/>
        <v>100000000</v>
      </c>
      <c r="G26" s="18">
        <f>(EXP(-B26*$C$2)-EXP(-$B$28*$C$2))/SUM(D27:$D$28)</f>
        <v>1.0050167084168074E-2</v>
      </c>
      <c r="H26" s="18">
        <f t="shared" si="4"/>
        <v>5.0000000000000001E-3</v>
      </c>
      <c r="I26" s="2">
        <f t="shared" si="5"/>
        <v>8</v>
      </c>
      <c r="J26" s="22">
        <f>-(BS($G26,$H26,$C$7,$B26,1)-BS($G26,$H26+$C$10/$F26/$E26,$C$7,$B26,1))*$F26*$E26</f>
        <v>-1061709.3760840455</v>
      </c>
      <c r="K26" s="23">
        <f>(BS($G26,$H26,$C$7,$B26,-1)-BS($G26,$H26-$C$9/$F26/$E26,$C$7,$B26,-1))*$F26*$E26</f>
        <v>228040.16377875122</v>
      </c>
      <c r="L26" s="22">
        <f>-(Bachelier($G26,$H26,$D$7,$B26,1)-Bachelier($G26,$H26+$C$10/$F26/$E26,$D$7,$B26,1))*$F26*$E26</f>
        <v>-1413291.8127904302</v>
      </c>
      <c r="M26" s="23">
        <f>(Bachelier($G26,$H26,$D$7,$B26,-1)-Bachelier($G26,$H26-$C$9/$F26/$E26,$D$7,$B26,-1))*$F26*$E26</f>
        <v>459221.20788039779</v>
      </c>
      <c r="N26" s="5">
        <f>EXP(-$C$11/(1-$C$8)*B25)-EXP(-$C$11/(1-$C$8)*B26)</f>
        <v>1.4708451945076306E-2</v>
      </c>
      <c r="O26" s="5">
        <f>EXP(-$C$12/(1-$C$8)*B25)-EXP(-$C$12/(1-$C$8)*B26)</f>
        <v>1.4708451945076306E-2</v>
      </c>
    </row>
    <row r="27" spans="2:15">
      <c r="B27">
        <f t="shared" si="0"/>
        <v>9</v>
      </c>
      <c r="C27" s="11">
        <f t="shared" si="1"/>
        <v>0.94743210650179832</v>
      </c>
      <c r="D27" s="11">
        <f t="shared" si="2"/>
        <v>0.91393118527122819</v>
      </c>
      <c r="E27" s="12">
        <f t="shared" si="6"/>
        <v>0.94176453358424872</v>
      </c>
      <c r="F27" s="9">
        <f t="shared" si="3"/>
        <v>100000000</v>
      </c>
      <c r="G27" s="18">
        <f>(EXP(-B27*$C$2)-EXP(-$B$28*$C$2))/SUM(D28:$D$28)</f>
        <v>1.0050167084168119E-2</v>
      </c>
      <c r="H27" s="18">
        <f t="shared" si="4"/>
        <v>5.0000000000000001E-3</v>
      </c>
      <c r="I27" s="2">
        <f t="shared" si="5"/>
        <v>9</v>
      </c>
      <c r="J27" s="22">
        <f>-(BS($G27,$H27,$C$7,$B27,1)-BS($G27,$H27+$C$10/$F27/$E27,$C$7,$B27,1))*$F27*$E27</f>
        <v>-574543.55491234362</v>
      </c>
      <c r="K27" s="23">
        <f>(BS($G27,$H27,$C$7,$B27,-1)-BS($G27,$H27-$C$9/$F27/$E27,$C$7,$B27,-1))*$F27*$E27</f>
        <v>126566.03869464819</v>
      </c>
      <c r="L27" s="22">
        <f>-(Bachelier($G27,$H27,$D$7,$B27,1)-Bachelier($G27,$H27+$C$10/$F27/$E27,$D$7,$B27,1))*$F27*$E27</f>
        <v>-728001.74709598022</v>
      </c>
      <c r="M27" s="23">
        <f>(Bachelier($G27,$H27,$D$7,$B27,-1)-Bachelier($G27,$H27-$C$9/$F27/$E27,$D$7,$B27,-1))*$F27*$E27</f>
        <v>252394.92224156889</v>
      </c>
      <c r="N27" s="5">
        <f>EXP(-$C$11/(1-$C$8)*B26)-EXP(-$C$11/(1-$C$8)*B27)</f>
        <v>1.4465342617889676E-2</v>
      </c>
      <c r="O27" s="5">
        <f>EXP(-$C$12/(1-$C$8)*B26)-EXP(-$C$12/(1-$C$8)*B27)</f>
        <v>1.4465342617889676E-2</v>
      </c>
    </row>
    <row r="28" spans="2:15">
      <c r="B28">
        <f t="shared" si="0"/>
        <v>10</v>
      </c>
      <c r="C28" s="11">
        <f t="shared" si="1"/>
        <v>0.94176453358424872</v>
      </c>
      <c r="D28" s="11">
        <f t="shared" si="2"/>
        <v>0.90483741803595952</v>
      </c>
      <c r="F28" s="9"/>
    </row>
  </sheetData>
  <mergeCells count="2">
    <mergeCell ref="G2:I2"/>
    <mergeCell ref="J2:L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Mensualité Fixe</vt:lpstr>
      <vt:lpstr>Sensiblité swap</vt:lpstr>
      <vt:lpstr>Sensiblité swap Multi Courbe</vt:lpstr>
      <vt:lpstr>Swaption</vt:lpstr>
      <vt:lpstr>Credit Spread vs Proba</vt:lpstr>
      <vt:lpstr>CVA-DVA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2014-12-02T13:37:03Z</dcterms:created>
  <dcterms:modified xsi:type="dcterms:W3CDTF">2015-11-24T23:08:47Z</dcterms:modified>
</cp:coreProperties>
</file>