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0" windowWidth="18330" windowHeight="7365"/>
  </bookViews>
  <sheets>
    <sheet name="Feuil1" sheetId="1" r:id="rId1"/>
    <sheet name="Feuil2" sheetId="2" r:id="rId2"/>
    <sheet name="Feuil3" sheetId="3" r:id="rId3"/>
  </sheets>
  <functionGroups/>
  <calcPr calcId="125725"/>
</workbook>
</file>

<file path=xl/calcChain.xml><?xml version="1.0" encoding="utf-8"?>
<calcChain xmlns="http://schemas.openxmlformats.org/spreadsheetml/2006/main">
  <c r="J22" i="1"/>
  <c r="H22"/>
  <c r="J21"/>
  <c r="H21"/>
  <c r="J20"/>
  <c r="I20"/>
  <c r="I21" s="1"/>
  <c r="H20"/>
  <c r="J19"/>
  <c r="H19"/>
  <c r="J18"/>
  <c r="H18"/>
  <c r="J17"/>
  <c r="I17"/>
  <c r="H17"/>
  <c r="J16"/>
  <c r="I16"/>
  <c r="H16"/>
  <c r="G16"/>
  <c r="J15"/>
  <c r="I15"/>
  <c r="H15"/>
  <c r="J14"/>
  <c r="I14"/>
  <c r="H14"/>
  <c r="E20"/>
  <c r="E18"/>
  <c r="D20"/>
  <c r="D18"/>
  <c r="D19"/>
  <c r="D17"/>
  <c r="E16"/>
  <c r="D16"/>
  <c r="E15"/>
  <c r="D15"/>
  <c r="C15"/>
  <c r="G15"/>
  <c r="G14"/>
  <c r="E14"/>
  <c r="D14"/>
  <c r="C14"/>
  <c r="C16"/>
  <c r="C10"/>
  <c r="C9"/>
  <c r="C8"/>
  <c r="I18" l="1"/>
  <c r="C18"/>
</calcChain>
</file>

<file path=xl/sharedStrings.xml><?xml version="1.0" encoding="utf-8"?>
<sst xmlns="http://schemas.openxmlformats.org/spreadsheetml/2006/main" count="26" uniqueCount="19">
  <si>
    <t>Notional</t>
  </si>
  <si>
    <t>R</t>
  </si>
  <si>
    <t>Rcv Or Pay</t>
  </si>
  <si>
    <t>Sensi (kEUR/bp)</t>
  </si>
  <si>
    <t>Cvx (EUR/bp/bp)</t>
  </si>
  <si>
    <t>NPV (Mios EUR)</t>
  </si>
  <si>
    <t>ATM 10Y</t>
  </si>
  <si>
    <t>N1</t>
  </si>
  <si>
    <t>N2</t>
  </si>
  <si>
    <t>N3</t>
  </si>
  <si>
    <t>ATM 20Y</t>
  </si>
  <si>
    <t>ATM 30Y</t>
  </si>
  <si>
    <t>Coeff 20Y-10Y</t>
  </si>
  <si>
    <t>Net 20Y-10Y</t>
  </si>
  <si>
    <t>Coeff 20Y-30Y</t>
  </si>
  <si>
    <t>Net 20Y-30Y</t>
  </si>
  <si>
    <t>NPV 20Y-10Y</t>
  </si>
  <si>
    <t>PNL 20Y-30Y</t>
  </si>
  <si>
    <t>Explain 20Y-30Y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</si>
</sst>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0" fontId="0" fillId="0" borderId="1" xfId="0" applyBorder="1"/>
    <xf numFmtId="0" fontId="2" fillId="0" borderId="1" xfId="0" applyFont="1" applyBorder="1"/>
    <xf numFmtId="43" fontId="0" fillId="0" borderId="1" xfId="0" applyNumberFormat="1" applyBorder="1"/>
    <xf numFmtId="164" fontId="0" fillId="0" borderId="1" xfId="0" applyNumberFormat="1" applyBorder="1"/>
    <xf numFmtId="2" fontId="0" fillId="0" borderId="1" xfId="0" applyNumberFormat="1" applyBorder="1"/>
    <xf numFmtId="43" fontId="0" fillId="0" borderId="1" xfId="1" applyFont="1" applyBorder="1"/>
    <xf numFmtId="9" fontId="0" fillId="0" borderId="1" xfId="0" applyNumberFormat="1" applyBorder="1"/>
    <xf numFmtId="10" fontId="0" fillId="0" borderId="1" xfId="0" applyNumberFormat="1" applyBorder="1"/>
    <xf numFmtId="0" fontId="2" fillId="0" borderId="1" xfId="0" applyFont="1" applyFill="1" applyBorder="1"/>
    <xf numFmtId="10" fontId="2" fillId="0" borderId="1" xfId="0" applyNumberFormat="1" applyFont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2:J22"/>
  <sheetViews>
    <sheetView tabSelected="1" workbookViewId="0">
      <selection activeCell="J22" sqref="J22"/>
    </sheetView>
  </sheetViews>
  <sheetFormatPr baseColWidth="10" defaultRowHeight="15"/>
  <cols>
    <col min="2" max="2" width="14.7109375" bestFit="1" customWidth="1"/>
    <col min="3" max="3" width="16.28515625" bestFit="1" customWidth="1"/>
    <col min="4" max="4" width="14.7109375" bestFit="1" customWidth="1"/>
    <col min="5" max="5" width="15.42578125" bestFit="1" customWidth="1"/>
    <col min="7" max="7" width="14.85546875" bestFit="1" customWidth="1"/>
    <col min="8" max="8" width="19.85546875" bestFit="1" customWidth="1"/>
    <col min="10" max="10" width="12.85546875" bestFit="1" customWidth="1"/>
  </cols>
  <sheetData>
    <row r="2" spans="2:10">
      <c r="B2" s="3" t="s">
        <v>0</v>
      </c>
      <c r="C2" s="7">
        <v>100000000</v>
      </c>
    </row>
    <row r="3" spans="2:10">
      <c r="B3" s="3" t="s">
        <v>2</v>
      </c>
      <c r="C3" s="2">
        <v>1</v>
      </c>
    </row>
    <row r="4" spans="2:10">
      <c r="B4" s="3" t="s">
        <v>7</v>
      </c>
      <c r="C4" s="2">
        <v>10</v>
      </c>
    </row>
    <row r="5" spans="2:10">
      <c r="B5" s="3" t="s">
        <v>8</v>
      </c>
      <c r="C5" s="2">
        <v>20</v>
      </c>
    </row>
    <row r="6" spans="2:10">
      <c r="B6" s="3" t="s">
        <v>9</v>
      </c>
      <c r="C6" s="2">
        <v>30</v>
      </c>
    </row>
    <row r="7" spans="2:10">
      <c r="B7" s="3" t="s">
        <v>1</v>
      </c>
      <c r="C7" s="8">
        <v>0.02</v>
      </c>
    </row>
    <row r="8" spans="2:10">
      <c r="B8" s="3" t="s">
        <v>6</v>
      </c>
      <c r="C8" s="9">
        <f>Swap(C4,C7)</f>
        <v>2.0000000000000018E-2</v>
      </c>
      <c r="D8" s="1"/>
    </row>
    <row r="9" spans="2:10">
      <c r="B9" s="3" t="s">
        <v>10</v>
      </c>
      <c r="C9" s="9">
        <f>Swap(C5,C7)</f>
        <v>2.0000000000000018E-2</v>
      </c>
      <c r="D9" s="1"/>
    </row>
    <row r="10" spans="2:10">
      <c r="B10" s="3" t="s">
        <v>11</v>
      </c>
      <c r="C10" s="9">
        <f>Swap(C6,C7)</f>
        <v>2.0000000000000014E-2</v>
      </c>
      <c r="D10" s="1"/>
    </row>
    <row r="11" spans="2:10">
      <c r="D11" s="1"/>
    </row>
    <row r="13" spans="2:10">
      <c r="B13" s="2"/>
      <c r="C13" s="3" t="s">
        <v>5</v>
      </c>
      <c r="D13" s="3" t="s">
        <v>3</v>
      </c>
      <c r="E13" s="3" t="s">
        <v>4</v>
      </c>
      <c r="G13" s="10" t="s">
        <v>1</v>
      </c>
      <c r="H13" s="11">
        <v>1.4999999999999999E-2</v>
      </c>
      <c r="I13" s="11">
        <v>0.02</v>
      </c>
      <c r="J13" s="11">
        <v>2.5000000000000001E-2</v>
      </c>
    </row>
    <row r="14" spans="2:10">
      <c r="B14" s="3" t="s">
        <v>6</v>
      </c>
      <c r="C14" s="4">
        <f>NPVSwap($C$3,$C$8,$C$4,$C$7)*$C$2/1000000</f>
        <v>0</v>
      </c>
      <c r="D14" s="5">
        <f>SensiSwap($C$3,$C$8,$C$4,$C$7)*$C$2/10000</f>
        <v>-89825.850062422352</v>
      </c>
      <c r="E14" s="6">
        <f>CvxSwap($C$3,$C$8,$C$4,$C$7)*$C$2/100000000</f>
        <v>93.995461530934108</v>
      </c>
      <c r="G14" s="3" t="str">
        <f>B14</f>
        <v>ATM 10Y</v>
      </c>
      <c r="H14" s="12">
        <f>NPVSwap($C$3,$C8,$C4,H$13)*$C$2/1000000</f>
        <v>4.6110922759273247</v>
      </c>
      <c r="I14" s="12">
        <f>NPVSwap($C$3,$C8,$C4,I$13)*$C$2/1000000</f>
        <v>0</v>
      </c>
      <c r="J14" s="12">
        <f>NPVSwap($C$3,$C8,$C4,J$13)*$C$2/1000000</f>
        <v>-4.3760319654853763</v>
      </c>
    </row>
    <row r="15" spans="2:10">
      <c r="B15" s="3" t="s">
        <v>10</v>
      </c>
      <c r="C15" s="4">
        <f>NPVSwap($C$3,$C$8,$C$4,$C$7)*$C$2/1000000</f>
        <v>0</v>
      </c>
      <c r="D15" s="5">
        <f>SensiSwap($C$3,$C$9,$C$5,$C$7)*$C$2/10000</f>
        <v>-163514.3334459711</v>
      </c>
      <c r="E15" s="6">
        <f>CvxSwap($C$3,$C$9,$C$5,$C$7)*$C$2/100000000</f>
        <v>315.59170091450028</v>
      </c>
      <c r="G15" s="3" t="str">
        <f>B15</f>
        <v>ATM 20Y</v>
      </c>
      <c r="H15" s="12">
        <f>NPVSwap($C$3,$C9,$C5,H$13)*$C$2/1000000</f>
        <v>8.5843193925411683</v>
      </c>
      <c r="I15" s="12">
        <f>NPVSwap($C$3,$C9,$C5,I$13)*$C$2/1000000</f>
        <v>0</v>
      </c>
      <c r="J15" s="12">
        <f>NPVSwap($C$3,$C9,$C5,J$13)*$C$2/1000000</f>
        <v>-7.7945811428232394</v>
      </c>
    </row>
    <row r="16" spans="2:10">
      <c r="B16" s="3" t="s">
        <v>11</v>
      </c>
      <c r="C16" s="4">
        <f>NPVSwap(C3,C10,C6,C7)*C2/1000000</f>
        <v>0</v>
      </c>
      <c r="D16" s="5">
        <f>SensiSwap($C$3,$C$10,$C$6,$C$7)*$C$2/10000</f>
        <v>-223964.55551004401</v>
      </c>
      <c r="E16" s="6">
        <f>CvxSwap($C$3,$C$9,$C$6,$C$7)*$C$2/100000000</f>
        <v>615.90764633599326</v>
      </c>
      <c r="G16" s="3" t="str">
        <f>B16</f>
        <v>ATM 30Y</v>
      </c>
      <c r="H16" s="12">
        <f>NPVSwap($C$3,$C10,$C6,H$13)*$C$2/1000000</f>
        <v>12.007919003117326</v>
      </c>
      <c r="I16" s="12">
        <f>NPVSwap($C$3,$C10,$C6,I$13)*$C$2/1000000</f>
        <v>0</v>
      </c>
      <c r="J16" s="12">
        <f>NPVSwap($C$3,$C10,$C6,J$13)*$C$2/1000000</f>
        <v>-10.465146296380389</v>
      </c>
    </row>
    <row r="17" spans="2:10">
      <c r="B17" s="3" t="s">
        <v>12</v>
      </c>
      <c r="C17" s="2"/>
      <c r="D17" s="7">
        <f>D15/D14</f>
        <v>1.8203482998751548</v>
      </c>
      <c r="E17" s="6"/>
      <c r="G17" s="3" t="s">
        <v>16</v>
      </c>
      <c r="H17" s="12">
        <f>H15-H14*$D$17</f>
        <v>0.19052540748940494</v>
      </c>
      <c r="I17" s="12">
        <f>I15-I14*$D$17</f>
        <v>0</v>
      </c>
      <c r="J17" s="12">
        <f>J15-J14*$D$17</f>
        <v>0.17132120574739762</v>
      </c>
    </row>
    <row r="18" spans="2:10">
      <c r="B18" s="3" t="s">
        <v>13</v>
      </c>
      <c r="C18" s="4">
        <f>C14-C15*D17</f>
        <v>0</v>
      </c>
      <c r="D18" s="4">
        <f>D$15-D$14*D17</f>
        <v>0</v>
      </c>
      <c r="E18" s="4">
        <f>E15-E14*D17</f>
        <v>144.48722232068386</v>
      </c>
      <c r="G18" s="3" t="s">
        <v>17</v>
      </c>
      <c r="H18" s="12">
        <f>(H17-$I$17)*1000000</f>
        <v>190525.40748940496</v>
      </c>
      <c r="I18" s="12">
        <f>(I17-$I$17)*1000000</f>
        <v>0</v>
      </c>
      <c r="J18" s="12">
        <f>(J17-$I$17)*1000000</f>
        <v>171321.20574739762</v>
      </c>
    </row>
    <row r="19" spans="2:10">
      <c r="B19" s="3" t="s">
        <v>14</v>
      </c>
      <c r="C19" s="2"/>
      <c r="D19" s="6">
        <f>D15/D16</f>
        <v>0.73009022822201908</v>
      </c>
      <c r="E19" s="2"/>
      <c r="G19" s="3" t="s">
        <v>18</v>
      </c>
      <c r="H19" s="12">
        <f>$E$18*((H13-$I$13))^2*$C$2/2</f>
        <v>180609.02790085491</v>
      </c>
      <c r="I19" s="13"/>
      <c r="J19" s="12">
        <f>H19</f>
        <v>180609.02790085491</v>
      </c>
    </row>
    <row r="20" spans="2:10">
      <c r="B20" s="3" t="s">
        <v>15</v>
      </c>
      <c r="C20" s="2"/>
      <c r="D20" s="4">
        <f>D$15-D$16*D19</f>
        <v>0</v>
      </c>
      <c r="E20" s="4">
        <f>E$15-E$16*D19</f>
        <v>-134.07645316263165</v>
      </c>
      <c r="G20" s="3" t="s">
        <v>16</v>
      </c>
      <c r="H20" s="12">
        <f>H15-H16*$D$19</f>
        <v>-0.18254493291627938</v>
      </c>
      <c r="I20" s="12">
        <f>I15-I16*$D$19</f>
        <v>0</v>
      </c>
      <c r="J20" s="12">
        <f>J15-J16*$D$19</f>
        <v>-0.15408009492206354</v>
      </c>
    </row>
    <row r="21" spans="2:10">
      <c r="G21" s="3" t="s">
        <v>17</v>
      </c>
      <c r="H21" s="12">
        <f>(H20-$I$20)*1000000</f>
        <v>-182544.93291627939</v>
      </c>
      <c r="I21" s="12">
        <f>(I20-$I$17)*1000000</f>
        <v>0</v>
      </c>
      <c r="J21" s="12">
        <f>(J20-$I$20)*1000000</f>
        <v>-154080.09492206352</v>
      </c>
    </row>
    <row r="22" spans="2:10">
      <c r="G22" s="3" t="s">
        <v>18</v>
      </c>
      <c r="H22" s="12">
        <f>$E$20*((H13-$I$13))^2*$C$2/2</f>
        <v>-167595.56645328965</v>
      </c>
      <c r="I22" s="13"/>
      <c r="J22" s="12">
        <f>H22</f>
        <v>-167595.56645328965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2015-02-12T20:58:51Z</dcterms:created>
  <dcterms:modified xsi:type="dcterms:W3CDTF">2015-02-14T14:40:11Z</dcterms:modified>
</cp:coreProperties>
</file>