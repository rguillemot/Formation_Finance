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/>
  </bookViews>
  <sheets>
    <sheet name="Swaption" sheetId="5" r:id="rId1"/>
  </sheets>
  <functionGroups/>
  <calcPr calcId="124519"/>
</workbook>
</file>

<file path=xl/calcChain.xml><?xml version="1.0" encoding="utf-8"?>
<calcChain xmlns="http://schemas.openxmlformats.org/spreadsheetml/2006/main">
  <c r="F12" i="5"/>
  <c r="J12" l="1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D9"/>
  <c r="F21"/>
  <c r="F22"/>
  <c r="F23"/>
  <c r="F24"/>
  <c r="F20"/>
  <c r="I21"/>
  <c r="I22"/>
  <c r="I23"/>
  <c r="I24"/>
  <c r="I20"/>
  <c r="C7" s="1"/>
  <c r="D21"/>
  <c r="K21" s="1"/>
  <c r="D22"/>
  <c r="D23"/>
  <c r="K23" s="1"/>
  <c r="D24"/>
  <c r="D20"/>
  <c r="B21"/>
  <c r="G21" s="1"/>
  <c r="B22"/>
  <c r="B23"/>
  <c r="G23" s="1"/>
  <c r="B24"/>
  <c r="B20"/>
  <c r="G20" s="1"/>
  <c r="K22" l="1"/>
  <c r="K24"/>
  <c r="G24"/>
  <c r="E24" s="1"/>
  <c r="J24" s="1"/>
  <c r="K20"/>
  <c r="G22"/>
  <c r="E22" s="1"/>
  <c r="J22" s="1"/>
  <c r="E20"/>
  <c r="J20" s="1"/>
  <c r="E23"/>
  <c r="J23" s="1"/>
  <c r="E21"/>
  <c r="J21" s="1"/>
  <c r="C16" l="1"/>
  <c r="C15"/>
  <c r="C17" l="1"/>
</calcChain>
</file>

<file path=xl/sharedStrings.xml><?xml version="1.0" encoding="utf-8"?>
<sst xmlns="http://schemas.openxmlformats.org/spreadsheetml/2006/main" count="31" uniqueCount="23">
  <si>
    <t>Nominal</t>
  </si>
  <si>
    <t>EURIBOR</t>
  </si>
  <si>
    <t>30/360</t>
  </si>
  <si>
    <t>Fix</t>
  </si>
  <si>
    <t>Taux Zero</t>
  </si>
  <si>
    <t>Jambe Variable</t>
  </si>
  <si>
    <t>Jambe Fixe</t>
  </si>
  <si>
    <t>StartDate</t>
  </si>
  <si>
    <t>EndDate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</si>
  <si>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</si>
  <si>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</si>
  <si>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</si>
  <si>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</si>
  <si>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</si>
  <si>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</si>
  <si>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</si>
  <si>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</si>
  <si>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</si>
  <si>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</si>
  <si>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</si>
  <si>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</si>
  <si>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Diff</t>
  </si>
  <si>
    <t>Strike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</si>
</sst>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%"/>
    <numFmt numFmtId="165" formatCode="0.0000%"/>
    <numFmt numFmtId="167" formatCode="_-* #,##0\ _€_-;\-* #,##0\ _€_-;_-* &quot;-&quot;??\ _€_-;_-@_-"/>
    <numFmt numFmtId="168" formatCode="_-* #,##0.000\ _€_-;\-* #,##0.000\ _€_-;_-* &quot;-&quot;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</c:numCache>
            </c:numRef>
          </c:yVal>
          <c:smooth val="1"/>
        </c:ser>
        <c:axId val="69669248"/>
        <c:axId val="73289088"/>
      </c:scatterChart>
      <c:valAx>
        <c:axId val="69669248"/>
        <c:scaling>
          <c:orientation val="minMax"/>
          <c:max val="2.1000000000000008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73289088"/>
        <c:crosses val="autoZero"/>
        <c:crossBetween val="midCat"/>
      </c:valAx>
      <c:valAx>
        <c:axId val="73289088"/>
        <c:scaling>
          <c:orientation val="minMax"/>
          <c:max val="0.6000000000000002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6966924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tabSelected="1" workbookViewId="0">
      <selection activeCell="G2" sqref="G2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22</v>
      </c>
      <c r="G1" s="3" t="s">
        <v>15</v>
      </c>
      <c r="H1" s="3" t="s">
        <v>20</v>
      </c>
      <c r="I1" s="3" t="s">
        <v>19</v>
      </c>
      <c r="J1" s="3" t="s">
        <v>21</v>
      </c>
    </row>
    <row r="2" spans="2:10">
      <c r="B2" s="3" t="s">
        <v>4</v>
      </c>
      <c r="C2" s="7">
        <v>1.4701402852892183E-2</v>
      </c>
      <c r="F2" s="6">
        <v>0.01</v>
      </c>
      <c r="G2" s="10">
        <v>0.4</v>
      </c>
      <c r="H2" s="11"/>
      <c r="I2" s="11"/>
      <c r="J2" s="11">
        <f>I2-H2</f>
        <v>0</v>
      </c>
    </row>
    <row r="3" spans="2:10">
      <c r="B3" s="3" t="s">
        <v>0</v>
      </c>
      <c r="C3" s="2">
        <v>100000000</v>
      </c>
      <c r="F3" s="6">
        <f>F2+0.1%</f>
        <v>1.0999999999999999E-2</v>
      </c>
      <c r="G3" s="10">
        <v>0.4</v>
      </c>
      <c r="H3" s="11"/>
      <c r="I3" s="11"/>
      <c r="J3" s="11">
        <f t="shared" ref="J3:J11" si="0">I3-H3</f>
        <v>0</v>
      </c>
    </row>
    <row r="4" spans="2:10">
      <c r="B4" s="3" t="s">
        <v>10</v>
      </c>
      <c r="C4" s="7">
        <v>1.481E-2</v>
      </c>
      <c r="F4" s="6">
        <f t="shared" ref="F4:F12" si="1">F3+0.1%</f>
        <v>1.2E-2</v>
      </c>
      <c r="G4" s="10">
        <v>0.4</v>
      </c>
      <c r="H4" s="11"/>
      <c r="I4" s="11"/>
      <c r="J4" s="11">
        <f t="shared" si="0"/>
        <v>0</v>
      </c>
    </row>
    <row r="5" spans="2:10">
      <c r="B5" s="3" t="s">
        <v>17</v>
      </c>
      <c r="C5" s="7">
        <v>1.481E-2</v>
      </c>
      <c r="F5" s="6">
        <f t="shared" si="1"/>
        <v>1.3000000000000001E-2</v>
      </c>
      <c r="G5" s="10">
        <v>0.4</v>
      </c>
      <c r="H5" s="11"/>
      <c r="I5" s="11"/>
      <c r="J5" s="11">
        <f t="shared" si="0"/>
        <v>0</v>
      </c>
    </row>
    <row r="6" spans="2:10">
      <c r="F6" s="6">
        <f t="shared" si="1"/>
        <v>1.4000000000000002E-2</v>
      </c>
      <c r="G6" s="10">
        <v>0.4</v>
      </c>
      <c r="H6" s="11"/>
      <c r="I6" s="11"/>
      <c r="J6" s="11">
        <f t="shared" si="0"/>
        <v>0</v>
      </c>
    </row>
    <row r="7" spans="2:10">
      <c r="B7" s="3" t="s">
        <v>12</v>
      </c>
      <c r="C7">
        <f>SUM(I20:I24)</f>
        <v>4.4461689298443527</v>
      </c>
      <c r="F7" s="6">
        <f t="shared" si="1"/>
        <v>1.5000000000000003E-2</v>
      </c>
      <c r="G7" s="10">
        <v>0.4</v>
      </c>
      <c r="H7" s="11"/>
      <c r="I7" s="11"/>
      <c r="J7" s="11">
        <f t="shared" si="0"/>
        <v>0</v>
      </c>
    </row>
    <row r="8" spans="2:10">
      <c r="C8" s="3" t="s">
        <v>19</v>
      </c>
      <c r="D8" s="3" t="s">
        <v>20</v>
      </c>
      <c r="F8" s="6">
        <f t="shared" si="1"/>
        <v>1.6000000000000004E-2</v>
      </c>
      <c r="G8" s="10">
        <v>0.4</v>
      </c>
      <c r="H8" s="11"/>
      <c r="I8" s="11"/>
      <c r="J8" s="11">
        <f t="shared" si="0"/>
        <v>0</v>
      </c>
    </row>
    <row r="9" spans="2:10">
      <c r="B9" s="3" t="s">
        <v>15</v>
      </c>
      <c r="C9" s="1">
        <v>0.4</v>
      </c>
      <c r="D9" s="7">
        <f>C9*C4</f>
        <v>5.9240000000000004E-3</v>
      </c>
      <c r="F9" s="6">
        <f t="shared" si="1"/>
        <v>1.7000000000000005E-2</v>
      </c>
      <c r="G9" s="10">
        <v>0.4</v>
      </c>
      <c r="H9" s="11"/>
      <c r="I9" s="11"/>
      <c r="J9" s="11">
        <f t="shared" si="0"/>
        <v>0</v>
      </c>
    </row>
    <row r="10" spans="2:10">
      <c r="B10" s="3" t="s">
        <v>16</v>
      </c>
      <c r="C10">
        <v>5</v>
      </c>
      <c r="F10" s="6">
        <f t="shared" si="1"/>
        <v>1.8000000000000006E-2</v>
      </c>
      <c r="G10" s="10">
        <v>0.4</v>
      </c>
      <c r="H10" s="11"/>
      <c r="I10" s="11"/>
      <c r="J10" s="11">
        <f t="shared" si="0"/>
        <v>0</v>
      </c>
    </row>
    <row r="11" spans="2:10">
      <c r="B11" s="3" t="s">
        <v>18</v>
      </c>
      <c r="C11">
        <v>1</v>
      </c>
      <c r="F11" s="6">
        <f t="shared" si="1"/>
        <v>1.9000000000000006E-2</v>
      </c>
      <c r="G11" s="10">
        <v>0.4</v>
      </c>
      <c r="H11" s="11"/>
      <c r="I11" s="11"/>
      <c r="J11" s="11">
        <f t="shared" si="0"/>
        <v>0</v>
      </c>
    </row>
    <row r="12" spans="2:10">
      <c r="C12" s="3" t="s">
        <v>19</v>
      </c>
      <c r="D12" s="3" t="s">
        <v>20</v>
      </c>
      <c r="F12" s="6">
        <f t="shared" si="1"/>
        <v>2.0000000000000007E-2</v>
      </c>
      <c r="G12" s="10">
        <v>0.4</v>
      </c>
      <c r="H12" s="11"/>
      <c r="I12" s="11"/>
      <c r="J12" s="11">
        <f>I12-H12</f>
        <v>0</v>
      </c>
    </row>
    <row r="13" spans="2:10">
      <c r="B13" s="3" t="s">
        <v>14</v>
      </c>
      <c r="C13" s="12"/>
      <c r="D13" s="11"/>
      <c r="E13" s="11"/>
    </row>
    <row r="15" spans="2:10">
      <c r="B15" s="3" t="s">
        <v>5</v>
      </c>
      <c r="C15" s="9">
        <f>SUM(J20:J24)</f>
        <v>6584776.1850992851</v>
      </c>
    </row>
    <row r="16" spans="2:10">
      <c r="B16" s="3" t="s">
        <v>6</v>
      </c>
      <c r="C16" s="9">
        <f>SUM(K20:K24)</f>
        <v>-6584776.1850994863</v>
      </c>
    </row>
    <row r="17" spans="2:11">
      <c r="B17" s="3" t="s">
        <v>13</v>
      </c>
      <c r="C17" s="9">
        <f>C15+C16</f>
        <v>-2.0116567611694336E-7</v>
      </c>
    </row>
    <row r="19" spans="2:11">
      <c r="B19" s="3" t="s">
        <v>7</v>
      </c>
      <c r="C19" s="3" t="s">
        <v>8</v>
      </c>
      <c r="D19" s="3" t="s">
        <v>0</v>
      </c>
      <c r="E19" s="3" t="s">
        <v>1</v>
      </c>
      <c r="F19" s="3" t="s">
        <v>3</v>
      </c>
      <c r="G19" s="3" t="s">
        <v>11</v>
      </c>
      <c r="H19" s="3" t="s">
        <v>2</v>
      </c>
      <c r="I19" s="3" t="s">
        <v>9</v>
      </c>
      <c r="J19" s="3" t="s">
        <v>5</v>
      </c>
      <c r="K19" s="3" t="s">
        <v>6</v>
      </c>
    </row>
    <row r="20" spans="2:11">
      <c r="B20">
        <f>C20-1</f>
        <v>5</v>
      </c>
      <c r="C20">
        <v>6</v>
      </c>
      <c r="D20" s="4">
        <f>$C$3</f>
        <v>100000000</v>
      </c>
      <c r="E20" s="5">
        <f>(EXP($C$2*(C20-B20))-1)/G20</f>
        <v>1.4607123287670786E-2</v>
      </c>
      <c r="F20" s="7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8">
        <f>D20*E20*G20*I20</f>
        <v>1355959.2238626005</v>
      </c>
      <c r="K20" s="8">
        <f>-D20*F20*H20*I20</f>
        <v>-1355959.223862642</v>
      </c>
    </row>
    <row r="21" spans="2:11">
      <c r="B21">
        <f t="shared" ref="B21:B24" si="2">C21-1</f>
        <v>6</v>
      </c>
      <c r="C21">
        <v>7</v>
      </c>
      <c r="D21" s="4">
        <f t="shared" ref="D21:D24" si="3">$C$3</f>
        <v>100000000</v>
      </c>
      <c r="E21" s="5">
        <f t="shared" ref="E21:E24" si="4">(EXP($C$2*(C21-B21))-1)/G21</f>
        <v>1.4607123287670786E-2</v>
      </c>
      <c r="F21" s="7">
        <f t="shared" ref="F21:F24" si="5">$C$5</f>
        <v>1.481E-2</v>
      </c>
      <c r="G21">
        <f t="shared" ref="G21:G24" si="6">(C21-B21)*365/360</f>
        <v>1.0138888888888888</v>
      </c>
      <c r="H21">
        <v>1</v>
      </c>
      <c r="I21">
        <f t="shared" ref="I21:I24" si="7">EXP(-C21*$C$2)</f>
        <v>0.90220833098718356</v>
      </c>
      <c r="J21" s="8">
        <f t="shared" ref="J21:J24" si="8">D21*E21*G21*I21</f>
        <v>1336170.5381919781</v>
      </c>
      <c r="K21" s="8">
        <f t="shared" ref="K21:K24" si="9">-D21*F21*H21*I21</f>
        <v>-1336170.5381920189</v>
      </c>
    </row>
    <row r="22" spans="2:11">
      <c r="B22">
        <f t="shared" si="2"/>
        <v>7</v>
      </c>
      <c r="C22">
        <v>8</v>
      </c>
      <c r="D22" s="4">
        <f t="shared" si="3"/>
        <v>100000000</v>
      </c>
      <c r="E22" s="5">
        <f t="shared" si="4"/>
        <v>1.4607123287670786E-2</v>
      </c>
      <c r="F22" s="7">
        <f t="shared" si="5"/>
        <v>1.481E-2</v>
      </c>
      <c r="G22">
        <f t="shared" si="6"/>
        <v>1.0138888888888888</v>
      </c>
      <c r="H22">
        <v>1</v>
      </c>
      <c r="I22">
        <f t="shared" si="7"/>
        <v>0.88904162452792546</v>
      </c>
      <c r="J22" s="8">
        <f t="shared" si="8"/>
        <v>1316670.6459258175</v>
      </c>
      <c r="K22" s="8">
        <f t="shared" si="9"/>
        <v>-1316670.6459258576</v>
      </c>
    </row>
    <row r="23" spans="2:11">
      <c r="B23">
        <f t="shared" si="2"/>
        <v>8</v>
      </c>
      <c r="C23">
        <v>9</v>
      </c>
      <c r="D23" s="4">
        <f t="shared" si="3"/>
        <v>100000000</v>
      </c>
      <c r="E23" s="5">
        <f t="shared" si="4"/>
        <v>1.4607123287670786E-2</v>
      </c>
      <c r="F23" s="7">
        <f t="shared" si="5"/>
        <v>1.481E-2</v>
      </c>
      <c r="G23">
        <f t="shared" si="6"/>
        <v>1.0138888888888888</v>
      </c>
      <c r="H23">
        <v>1</v>
      </c>
      <c r="I23">
        <f t="shared" si="7"/>
        <v>0.87606707120340355</v>
      </c>
      <c r="J23" s="8">
        <f t="shared" si="8"/>
        <v>1297455.3324522011</v>
      </c>
      <c r="K23" s="8">
        <f t="shared" si="9"/>
        <v>-1297455.3324522406</v>
      </c>
    </row>
    <row r="24" spans="2:11">
      <c r="B24">
        <f t="shared" si="2"/>
        <v>9</v>
      </c>
      <c r="C24">
        <v>10</v>
      </c>
      <c r="D24" s="4">
        <f t="shared" si="3"/>
        <v>100000000</v>
      </c>
      <c r="E24" s="5">
        <f t="shared" si="4"/>
        <v>1.4607123287670786E-2</v>
      </c>
      <c r="F24" s="7">
        <f t="shared" si="5"/>
        <v>1.481E-2</v>
      </c>
      <c r="G24">
        <f t="shared" si="6"/>
        <v>1.0138888888888888</v>
      </c>
      <c r="H24">
        <v>1</v>
      </c>
      <c r="I24">
        <f t="shared" si="7"/>
        <v>0.86328186675673679</v>
      </c>
      <c r="J24" s="8">
        <f t="shared" si="8"/>
        <v>1278520.4446666881</v>
      </c>
      <c r="K24" s="8">
        <f t="shared" si="9"/>
        <v>-1278520.4446667272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Swaption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2015-02-19T21:15:22Z</dcterms:modified>
</cp:coreProperties>
</file>