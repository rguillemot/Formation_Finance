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a\OneDrive\Documents\Mes Projets\Formation_Finance\Derives_de_taux\xls\"/>
    </mc:Choice>
  </mc:AlternateContent>
  <xr:revisionPtr revIDLastSave="22" documentId="11_1FE9324455D5B624D34E4B1398ADCE74B2DDAFFD" xr6:coauthVersionLast="40" xr6:coauthVersionMax="40" xr10:uidLastSave="{4572BC48-7A53-448B-A6E0-A63859B7C68B}"/>
  <bookViews>
    <workbookView xWindow="-110" yWindow="-110" windowWidth="25820" windowHeight="14020" xr2:uid="{00000000-000D-0000-FFFF-FFFF00000000}"/>
  </bookViews>
  <sheets>
    <sheet name="Swaption" sheetId="5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5" l="1"/>
  <c r="D9" i="5"/>
  <c r="J12" i="5" l="1"/>
  <c r="J2" i="5"/>
  <c r="J11" i="5"/>
  <c r="J10" i="5"/>
  <c r="J9" i="5"/>
  <c r="J8" i="5"/>
  <c r="J7" i="5"/>
  <c r="J6" i="5"/>
  <c r="J5" i="5"/>
  <c r="J4" i="5"/>
  <c r="J3" i="5"/>
  <c r="F3" i="5"/>
  <c r="F4" i="5" s="1"/>
  <c r="F5" i="5" s="1"/>
  <c r="F6" i="5" s="1"/>
  <c r="F7" i="5" s="1"/>
  <c r="F8" i="5" s="1"/>
  <c r="F9" i="5" s="1"/>
  <c r="F10" i="5" s="1"/>
  <c r="F11" i="5" s="1"/>
  <c r="F12" i="5" s="1"/>
  <c r="F21" i="5"/>
  <c r="F22" i="5"/>
  <c r="F23" i="5"/>
  <c r="F24" i="5"/>
  <c r="F20" i="5"/>
  <c r="I21" i="5"/>
  <c r="I22" i="5"/>
  <c r="I23" i="5"/>
  <c r="I24" i="5"/>
  <c r="I20" i="5"/>
  <c r="D21" i="5"/>
  <c r="D22" i="5"/>
  <c r="D23" i="5"/>
  <c r="K23" i="5" s="1"/>
  <c r="D24" i="5"/>
  <c r="D20" i="5"/>
  <c r="B21" i="5"/>
  <c r="G21" i="5" s="1"/>
  <c r="B22" i="5"/>
  <c r="B23" i="5"/>
  <c r="G23" i="5" s="1"/>
  <c r="B24" i="5"/>
  <c r="B20" i="5"/>
  <c r="G20" i="5" s="1"/>
  <c r="D13" i="5"/>
  <c r="C13" i="5"/>
  <c r="K21" i="5" l="1"/>
  <c r="C7" i="5"/>
  <c r="K22" i="5"/>
  <c r="K24" i="5"/>
  <c r="G24" i="5"/>
  <c r="E24" i="5" s="1"/>
  <c r="J24" i="5" s="1"/>
  <c r="K20" i="5"/>
  <c r="G22" i="5"/>
  <c r="E22" i="5" s="1"/>
  <c r="J22" i="5" s="1"/>
  <c r="E20" i="5"/>
  <c r="J20" i="5" s="1"/>
  <c r="E23" i="5"/>
  <c r="J23" i="5" s="1"/>
  <c r="E21" i="5"/>
  <c r="J21" i="5" s="1"/>
  <c r="C16" i="5" l="1"/>
  <c r="C15" i="5"/>
  <c r="C17" i="5" l="1"/>
</calcChain>
</file>

<file path=xl/sharedStrings.xml><?xml version="1.0" encoding="utf-8"?>
<sst xmlns="http://schemas.openxmlformats.org/spreadsheetml/2006/main" count="31" uniqueCount="23">
  <si>
    <t>Nominal</t>
  </si>
  <si>
    <t>EURIBOR</t>
  </si>
  <si>
    <t>30/360</t>
  </si>
  <si>
    <t>Fix</t>
  </si>
  <si>
    <t>Taux Zero</t>
  </si>
  <si>
    <t>Jambe Variable</t>
  </si>
  <si>
    <t>Jambe Fixe</t>
  </si>
  <si>
    <t>StartDate</t>
  </si>
  <si>
    <t>EndDate</t>
  </si>
  <si>
    <t>DFDisc</t>
  </si>
  <si>
    <t>Swap Fwd</t>
  </si>
  <si>
    <t>A360</t>
  </si>
  <si>
    <t>Duration</t>
  </si>
  <si>
    <t>NPV Swap</t>
  </si>
  <si>
    <t>NPV Swaption</t>
  </si>
  <si>
    <t>Vol</t>
  </si>
  <si>
    <t>T</t>
  </si>
  <si>
    <t>K</t>
  </si>
  <si>
    <t>cp</t>
  </si>
  <si>
    <t>Normal</t>
  </si>
  <si>
    <t>LogNormal</t>
  </si>
  <si>
    <t>Diff</t>
  </si>
  <si>
    <t>Strike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</si>
</sst>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\ _€_-;\-* #,##0.00\ _€_-;_-* &quot;-&quot;??\ _€_-;_-@_-"/>
    <numFmt numFmtId="164" formatCode="0.000%"/>
    <numFmt numFmtId="165" formatCode="0.0000%"/>
    <numFmt numFmtId="166" formatCode="_-* #,##0\ _€_-;\-* #,##0\ _€_-;_-* &quot;-&quot;??\ _€_-;_-@_-"/>
    <numFmt numFmtId="167" formatCode="_-* #,##0.000\ _€_-;\-* #,##0.000\ _€_-;_-* &quot;-&quot;???\ _€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9" fontId="0" fillId="0" borderId="0" xfId="0" applyNumberFormat="1"/>
    <xf numFmtId="43" fontId="0" fillId="0" borderId="0" xfId="1" applyFont="1"/>
    <xf numFmtId="0" fontId="2" fillId="0" borderId="0" xfId="0" applyFont="1"/>
    <xf numFmtId="43" fontId="0" fillId="0" borderId="0" xfId="0" applyNumberFormat="1"/>
    <xf numFmtId="165" fontId="0" fillId="0" borderId="0" xfId="2" applyNumberFormat="1" applyFont="1"/>
    <xf numFmtId="10" fontId="0" fillId="0" borderId="0" xfId="0" applyNumberFormat="1"/>
    <xf numFmtId="164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9" fontId="3" fillId="0" borderId="0" xfId="0" applyNumberFormat="1" applyFont="1"/>
    <xf numFmtId="167" fontId="3" fillId="0" borderId="0" xfId="0" applyNumberFormat="1" applyFont="1"/>
    <xf numFmtId="166" fontId="3" fillId="0" borderId="0" xfId="1" applyNumberFormat="1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Smile Normal vs Lognormal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Swaption!$G$1</c:f>
              <c:strCache>
                <c:ptCount val="1"/>
                <c:pt idx="0">
                  <c:v>Vol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Swaption!$F$2:$F$12</c:f>
              <c:numCache>
                <c:formatCode>0.00%</c:formatCode>
                <c:ptCount val="11"/>
                <c:pt idx="0">
                  <c:v>0.01</c:v>
                </c:pt>
                <c:pt idx="1">
                  <c:v>1.0999999999999999E-2</c:v>
                </c:pt>
                <c:pt idx="2">
                  <c:v>1.2E-2</c:v>
                </c:pt>
                <c:pt idx="3">
                  <c:v>1.3000000000000001E-2</c:v>
                </c:pt>
                <c:pt idx="4">
                  <c:v>1.4000000000000002E-2</c:v>
                </c:pt>
                <c:pt idx="5">
                  <c:v>1.5000000000000003E-2</c:v>
                </c:pt>
                <c:pt idx="6">
                  <c:v>1.6000000000000004E-2</c:v>
                </c:pt>
                <c:pt idx="7">
                  <c:v>1.7000000000000005E-2</c:v>
                </c:pt>
                <c:pt idx="8">
                  <c:v>1.8000000000000006E-2</c:v>
                </c:pt>
                <c:pt idx="9">
                  <c:v>1.9000000000000006E-2</c:v>
                </c:pt>
                <c:pt idx="10">
                  <c:v>2.0000000000000007E-2</c:v>
                </c:pt>
              </c:numCache>
            </c:numRef>
          </c:xVal>
          <c:yVal>
            <c:numRef>
              <c:f>Swaption!$G$2:$G$12</c:f>
              <c:numCache>
                <c:formatCode>0%</c:formatCode>
                <c:ptCount val="11"/>
                <c:pt idx="0">
                  <c:v>0.50997366143833611</c:v>
                </c:pt>
                <c:pt idx="1">
                  <c:v>0.48519049433508582</c:v>
                </c:pt>
                <c:pt idx="2">
                  <c:v>0.46347914845149424</c:v>
                </c:pt>
                <c:pt idx="3">
                  <c:v>0.444243051339345</c:v>
                </c:pt>
                <c:pt idx="4">
                  <c:v>0.42703811637158923</c:v>
                </c:pt>
                <c:pt idx="5">
                  <c:v>0.41152564862289104</c:v>
                </c:pt>
                <c:pt idx="6">
                  <c:v>0.39744197818691135</c:v>
                </c:pt>
                <c:pt idx="7">
                  <c:v>0.38457820095807049</c:v>
                </c:pt>
                <c:pt idx="8">
                  <c:v>0.37276626199457741</c:v>
                </c:pt>
                <c:pt idx="9">
                  <c:v>0.36186915280840842</c:v>
                </c:pt>
                <c:pt idx="10">
                  <c:v>0.35177385318269316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FB-4049-AE8F-E918E6A85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43168"/>
        <c:axId val="87012096"/>
      </c:scatterChart>
      <c:valAx>
        <c:axId val="85543168"/>
        <c:scaling>
          <c:orientation val="minMax"/>
          <c:max val="2.1000000000000012E-2"/>
          <c:min val="9.0000000000000028E-3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87012096"/>
        <c:crosses val="autoZero"/>
        <c:crossBetween val="midCat"/>
      </c:valAx>
      <c:valAx>
        <c:axId val="87012096"/>
        <c:scaling>
          <c:orientation val="minMax"/>
          <c:max val="0.60000000000000042"/>
          <c:min val="0.2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fr-FR"/>
                  <a:t>Vol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8554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</xdr:colOff>
      <xdr:row>1</xdr:row>
      <xdr:rowOff>180975</xdr:rowOff>
    </xdr:from>
    <xdr:to>
      <xdr:col>16</xdr:col>
      <xdr:colOff>85724</xdr:colOff>
      <xdr:row>15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B1:K24"/>
  <sheetViews>
    <sheetView tabSelected="1" topLeftCell="B1" workbookViewId="0">
      <selection activeCell="E14" sqref="E14"/>
    </sheetView>
  </sheetViews>
  <sheetFormatPr baseColWidth="10" defaultRowHeight="14.25" x14ac:dyDescent="0.45"/>
  <cols>
    <col min="2" max="2" width="14.53125" bestFit="1" customWidth="1"/>
    <col min="3" max="3" width="16.86328125" bestFit="1" customWidth="1"/>
    <col min="4" max="4" width="17.46484375" bestFit="1" customWidth="1"/>
    <col min="5" max="5" width="15.33203125" bestFit="1" customWidth="1"/>
    <col min="8" max="9" width="15.33203125" bestFit="1" customWidth="1"/>
    <col min="10" max="10" width="14.86328125" bestFit="1" customWidth="1"/>
    <col min="11" max="11" width="11.6640625" bestFit="1" customWidth="1"/>
  </cols>
  <sheetData>
    <row r="1" spans="2:10" x14ac:dyDescent="0.45">
      <c r="F1" s="3" t="s">
        <v>22</v>
      </c>
      <c r="G1" s="3" t="s">
        <v>15</v>
      </c>
      <c r="H1" s="3" t="s">
        <v>20</v>
      </c>
      <c r="I1" s="3" t="s">
        <v>19</v>
      </c>
      <c r="J1" s="3" t="s">
        <v>21</v>
      </c>
    </row>
    <row r="2" spans="2:10" x14ac:dyDescent="0.45">
      <c r="B2" s="3" t="s">
        <v>4</v>
      </c>
      <c r="C2" s="7">
        <v>1.4701402852892183E-2</v>
      </c>
      <c r="F2" s="6">
        <v>0.01</v>
      </c>
      <c r="G2" s="10">
        <v>0.50997366143833611</v>
      </c>
      <c r="H2" s="11"/>
      <c r="I2" s="11"/>
      <c r="J2" s="11">
        <f>I2-H2</f>
        <v>0</v>
      </c>
    </row>
    <row r="3" spans="2:10" x14ac:dyDescent="0.45">
      <c r="B3" s="3" t="s">
        <v>0</v>
      </c>
      <c r="C3" s="2">
        <v>100000000</v>
      </c>
      <c r="F3" s="6">
        <f>F2+0.1%</f>
        <v>1.0999999999999999E-2</v>
      </c>
      <c r="G3" s="10">
        <v>0.48519049433508582</v>
      </c>
      <c r="H3" s="11"/>
      <c r="I3" s="11"/>
      <c r="J3" s="11">
        <f t="shared" ref="J3:J11" si="0">I3-H3</f>
        <v>0</v>
      </c>
    </row>
    <row r="4" spans="2:10" x14ac:dyDescent="0.45">
      <c r="B4" s="3" t="s">
        <v>10</v>
      </c>
      <c r="C4" s="7">
        <v>1.481E-2</v>
      </c>
      <c r="F4" s="6">
        <f t="shared" ref="F4:F12" si="1">F3+0.1%</f>
        <v>1.2E-2</v>
      </c>
      <c r="G4" s="10">
        <v>0.46347914845149424</v>
      </c>
      <c r="H4" s="11"/>
      <c r="I4" s="11"/>
      <c r="J4" s="11">
        <f t="shared" si="0"/>
        <v>0</v>
      </c>
    </row>
    <row r="5" spans="2:10" x14ac:dyDescent="0.45">
      <c r="B5" s="3" t="s">
        <v>17</v>
      </c>
      <c r="C5" s="7">
        <v>1.481E-2</v>
      </c>
      <c r="F5" s="6">
        <f t="shared" si="1"/>
        <v>1.3000000000000001E-2</v>
      </c>
      <c r="G5" s="10">
        <v>0.444243051339345</v>
      </c>
      <c r="H5" s="11"/>
      <c r="I5" s="11"/>
      <c r="J5" s="11">
        <f t="shared" si="0"/>
        <v>0</v>
      </c>
    </row>
    <row r="6" spans="2:10" x14ac:dyDescent="0.45">
      <c r="F6" s="6">
        <f t="shared" si="1"/>
        <v>1.4000000000000002E-2</v>
      </c>
      <c r="G6" s="10">
        <v>0.42703811637158923</v>
      </c>
      <c r="H6" s="11"/>
      <c r="I6" s="11"/>
      <c r="J6" s="11">
        <f t="shared" si="0"/>
        <v>0</v>
      </c>
    </row>
    <row r="7" spans="2:10" x14ac:dyDescent="0.45">
      <c r="B7" s="3" t="s">
        <v>12</v>
      </c>
      <c r="C7">
        <f>SUM(I20:I24)</f>
        <v>4.4461689298443527</v>
      </c>
      <c r="F7" s="6">
        <f t="shared" si="1"/>
        <v>1.5000000000000003E-2</v>
      </c>
      <c r="G7" s="10">
        <v>0.41152564862289104</v>
      </c>
      <c r="H7" s="11"/>
      <c r="I7" s="11"/>
      <c r="J7" s="11">
        <f t="shared" si="0"/>
        <v>0</v>
      </c>
    </row>
    <row r="8" spans="2:10" x14ac:dyDescent="0.45">
      <c r="C8" s="3" t="s">
        <v>20</v>
      </c>
      <c r="D8" s="3" t="s">
        <v>19</v>
      </c>
      <c r="F8" s="6">
        <f t="shared" si="1"/>
        <v>1.6000000000000004E-2</v>
      </c>
      <c r="G8" s="10">
        <v>0.39744197818691135</v>
      </c>
      <c r="H8" s="11"/>
      <c r="I8" s="11"/>
      <c r="J8" s="11">
        <f t="shared" si="0"/>
        <v>0</v>
      </c>
    </row>
    <row r="9" spans="2:10" x14ac:dyDescent="0.45">
      <c r="B9" s="3" t="s">
        <v>15</v>
      </c>
      <c r="C9" s="1">
        <v>0.4</v>
      </c>
      <c r="D9" s="7">
        <f>C9*C4</f>
        <v>5.9240000000000004E-3</v>
      </c>
      <c r="F9" s="6">
        <f t="shared" si="1"/>
        <v>1.7000000000000005E-2</v>
      </c>
      <c r="G9" s="10">
        <v>0.38457820095807049</v>
      </c>
      <c r="H9" s="11"/>
      <c r="I9" s="11"/>
      <c r="J9" s="11">
        <f t="shared" si="0"/>
        <v>0</v>
      </c>
    </row>
    <row r="10" spans="2:10" x14ac:dyDescent="0.45">
      <c r="B10" s="3" t="s">
        <v>16</v>
      </c>
      <c r="C10">
        <v>5</v>
      </c>
      <c r="F10" s="6">
        <f t="shared" si="1"/>
        <v>1.8000000000000006E-2</v>
      </c>
      <c r="G10" s="10">
        <v>0.37276626199457741</v>
      </c>
      <c r="H10" s="11"/>
      <c r="I10" s="11"/>
      <c r="J10" s="11">
        <f t="shared" si="0"/>
        <v>0</v>
      </c>
    </row>
    <row r="11" spans="2:10" x14ac:dyDescent="0.45">
      <c r="B11" s="3" t="s">
        <v>18</v>
      </c>
      <c r="C11">
        <v>1</v>
      </c>
      <c r="F11" s="6">
        <f t="shared" si="1"/>
        <v>1.9000000000000006E-2</v>
      </c>
      <c r="G11" s="10">
        <v>0.36186915280840842</v>
      </c>
      <c r="H11" s="11"/>
      <c r="I11" s="11"/>
      <c r="J11" s="11">
        <f t="shared" si="0"/>
        <v>0</v>
      </c>
    </row>
    <row r="12" spans="2:10" x14ac:dyDescent="0.45">
      <c r="C12" s="3" t="s">
        <v>20</v>
      </c>
      <c r="D12" s="3" t="s">
        <v>19</v>
      </c>
      <c r="F12" s="6">
        <f t="shared" si="1"/>
        <v>2.0000000000000007E-2</v>
      </c>
      <c r="G12" s="10">
        <v>0.35177385318269316</v>
      </c>
      <c r="H12" s="11"/>
      <c r="I12" s="11"/>
      <c r="J12" s="11">
        <f>I12-H12</f>
        <v>0</v>
      </c>
    </row>
    <row r="13" spans="2:10" x14ac:dyDescent="0.45">
      <c r="B13" s="3" t="s">
        <v>14</v>
      </c>
      <c r="C13" s="12">
        <f>BS(C4,C5,C9,C10,C11)*C7*C3</f>
        <v>2273585.9503481733</v>
      </c>
      <c r="D13" s="11">
        <f>Bachelier(C4,C5,D9,C10,C11)*C7*C3</f>
        <v>2349611.5982608879</v>
      </c>
      <c r="E13" s="11">
        <f>D9*SQRT(C10)*C3*C7/SQRT(2*PI())</f>
        <v>2349611.5982608879</v>
      </c>
    </row>
    <row r="15" spans="2:10" x14ac:dyDescent="0.45">
      <c r="B15" s="3" t="s">
        <v>5</v>
      </c>
      <c r="C15" s="9">
        <f>SUM(J20:J24)</f>
        <v>6584776.1850992851</v>
      </c>
    </row>
    <row r="16" spans="2:10" x14ac:dyDescent="0.45">
      <c r="B16" s="3" t="s">
        <v>6</v>
      </c>
      <c r="C16" s="9">
        <f>SUM(K20:K24)</f>
        <v>-6584776.1850994863</v>
      </c>
    </row>
    <row r="17" spans="2:11" x14ac:dyDescent="0.45">
      <c r="B17" s="3" t="s">
        <v>13</v>
      </c>
      <c r="C17" s="9">
        <f>C15+C16</f>
        <v>-2.0116567611694336E-7</v>
      </c>
    </row>
    <row r="19" spans="2:11" x14ac:dyDescent="0.45">
      <c r="B19" s="3" t="s">
        <v>7</v>
      </c>
      <c r="C19" s="3" t="s">
        <v>8</v>
      </c>
      <c r="D19" s="3" t="s">
        <v>0</v>
      </c>
      <c r="E19" s="3" t="s">
        <v>1</v>
      </c>
      <c r="F19" s="3" t="s">
        <v>3</v>
      </c>
      <c r="G19" s="3" t="s">
        <v>11</v>
      </c>
      <c r="H19" s="3" t="s">
        <v>2</v>
      </c>
      <c r="I19" s="3" t="s">
        <v>9</v>
      </c>
      <c r="J19" s="3" t="s">
        <v>5</v>
      </c>
      <c r="K19" s="3" t="s">
        <v>6</v>
      </c>
    </row>
    <row r="20" spans="2:11" x14ac:dyDescent="0.45">
      <c r="B20">
        <f>C20-1</f>
        <v>5</v>
      </c>
      <c r="C20">
        <v>6</v>
      </c>
      <c r="D20" s="4">
        <f>$C$3</f>
        <v>100000000</v>
      </c>
      <c r="E20" s="5">
        <f>(EXP($C$2*(C20-B20))-1)/G20</f>
        <v>1.4607123287670786E-2</v>
      </c>
      <c r="F20" s="7">
        <f>$C$5</f>
        <v>1.481E-2</v>
      </c>
      <c r="G20">
        <f>(C20-B20)*365/360</f>
        <v>1.0138888888888888</v>
      </c>
      <c r="H20">
        <v>1</v>
      </c>
      <c r="I20">
        <f>EXP(-C20*$C$2)</f>
        <v>0.91557003636910328</v>
      </c>
      <c r="J20" s="8">
        <f>D20*E20*G20*I20</f>
        <v>1355959.2238626005</v>
      </c>
      <c r="K20" s="8">
        <f>-D20*F20*H20*I20</f>
        <v>-1355959.223862642</v>
      </c>
    </row>
    <row r="21" spans="2:11" x14ac:dyDescent="0.45">
      <c r="B21">
        <f t="shared" ref="B21:B24" si="2">C21-1</f>
        <v>6</v>
      </c>
      <c r="C21">
        <v>7</v>
      </c>
      <c r="D21" s="4">
        <f t="shared" ref="D21:D24" si="3">$C$3</f>
        <v>100000000</v>
      </c>
      <c r="E21" s="5">
        <f t="shared" ref="E21:E24" si="4">(EXP($C$2*(C21-B21))-1)/G21</f>
        <v>1.4607123287670786E-2</v>
      </c>
      <c r="F21" s="7">
        <f t="shared" ref="F21:F24" si="5">$C$5</f>
        <v>1.481E-2</v>
      </c>
      <c r="G21">
        <f t="shared" ref="G21:G24" si="6">(C21-B21)*365/360</f>
        <v>1.0138888888888888</v>
      </c>
      <c r="H21">
        <v>1</v>
      </c>
      <c r="I21">
        <f t="shared" ref="I21:I24" si="7">EXP(-C21*$C$2)</f>
        <v>0.90220833098718356</v>
      </c>
      <c r="J21" s="8">
        <f t="shared" ref="J21:J24" si="8">D21*E21*G21*I21</f>
        <v>1336170.5381919781</v>
      </c>
      <c r="K21" s="8">
        <f t="shared" ref="K21:K24" si="9">-D21*F21*H21*I21</f>
        <v>-1336170.5381920189</v>
      </c>
    </row>
    <row r="22" spans="2:11" x14ac:dyDescent="0.45">
      <c r="B22">
        <f t="shared" si="2"/>
        <v>7</v>
      </c>
      <c r="C22">
        <v>8</v>
      </c>
      <c r="D22" s="4">
        <f t="shared" si="3"/>
        <v>100000000</v>
      </c>
      <c r="E22" s="5">
        <f t="shared" si="4"/>
        <v>1.4607123287670786E-2</v>
      </c>
      <c r="F22" s="7">
        <f t="shared" si="5"/>
        <v>1.481E-2</v>
      </c>
      <c r="G22">
        <f t="shared" si="6"/>
        <v>1.0138888888888888</v>
      </c>
      <c r="H22">
        <v>1</v>
      </c>
      <c r="I22">
        <f t="shared" si="7"/>
        <v>0.88904162452792546</v>
      </c>
      <c r="J22" s="8">
        <f t="shared" si="8"/>
        <v>1316670.6459258175</v>
      </c>
      <c r="K22" s="8">
        <f t="shared" si="9"/>
        <v>-1316670.6459258576</v>
      </c>
    </row>
    <row r="23" spans="2:11" x14ac:dyDescent="0.45">
      <c r="B23">
        <f t="shared" si="2"/>
        <v>8</v>
      </c>
      <c r="C23">
        <v>9</v>
      </c>
      <c r="D23" s="4">
        <f t="shared" si="3"/>
        <v>100000000</v>
      </c>
      <c r="E23" s="5">
        <f t="shared" si="4"/>
        <v>1.4607123287670786E-2</v>
      </c>
      <c r="F23" s="7">
        <f t="shared" si="5"/>
        <v>1.481E-2</v>
      </c>
      <c r="G23">
        <f t="shared" si="6"/>
        <v>1.0138888888888888</v>
      </c>
      <c r="H23">
        <v>1</v>
      </c>
      <c r="I23">
        <f t="shared" si="7"/>
        <v>0.87606707120340355</v>
      </c>
      <c r="J23" s="8">
        <f t="shared" si="8"/>
        <v>1297455.3324522011</v>
      </c>
      <c r="K23" s="8">
        <f t="shared" si="9"/>
        <v>-1297455.3324522406</v>
      </c>
    </row>
    <row r="24" spans="2:11" x14ac:dyDescent="0.45">
      <c r="B24">
        <f t="shared" si="2"/>
        <v>9</v>
      </c>
      <c r="C24">
        <v>10</v>
      </c>
      <c r="D24" s="4">
        <f t="shared" si="3"/>
        <v>100000000</v>
      </c>
      <c r="E24" s="5">
        <f t="shared" si="4"/>
        <v>1.4607123287670786E-2</v>
      </c>
      <c r="F24" s="7">
        <f t="shared" si="5"/>
        <v>1.481E-2</v>
      </c>
      <c r="G24">
        <f t="shared" si="6"/>
        <v>1.0138888888888888</v>
      </c>
      <c r="H24">
        <v>1</v>
      </c>
      <c r="I24">
        <f t="shared" si="7"/>
        <v>0.86328186675673679</v>
      </c>
      <c r="J24" s="8">
        <f t="shared" si="8"/>
        <v>1278520.4446666881</v>
      </c>
      <c r="K24" s="8">
        <f t="shared" si="9"/>
        <v>-1278520.4446667272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Swaption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Guillemot Richard</cp:lastModifiedBy>
  <dcterms:created xsi:type="dcterms:W3CDTF">2014-12-02T13:37:03Z</dcterms:created>
  <dcterms:modified xsi:type="dcterms:W3CDTF">2019-02-22T11:03:03Z</dcterms:modified>
</cp:coreProperties>
</file>