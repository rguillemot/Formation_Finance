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60" windowWidth="18324" windowHeight="7368"/>
  </bookViews>
  <sheets>
    <sheet name="Feuil1" sheetId="1" r:id="rId1"/>
    <sheet name="Feuil2" sheetId="2" r:id="rId2"/>
    <sheet name="Feuil3" sheetId="3" r:id="rId3"/>
  </sheets>
  <functionGroups/>
  <calcPr calcId="124519"/>
  <fileRecoveryPr repairLoad="1"/>
</workbook>
</file>

<file path=xl/calcChain.xml><?xml version="1.0" encoding="utf-8"?>
<calcChain xmlns="http://schemas.openxmlformats.org/spreadsheetml/2006/main">
  <c r="G11" i="1"/>
  <c r="G10"/>
  <c r="C7"/>
  <c r="D11"/>
  <c r="E11"/>
  <c r="C6"/>
  <c r="E10"/>
  <c r="I10"/>
  <c r="H10"/>
  <c r="D10"/>
  <c r="C10"/>
  <c r="J10"/>
  <c r="C11"/>
  <c r="H11"/>
  <c r="I11"/>
  <c r="J11"/>
  <c r="D12" l="1"/>
  <c r="E13" s="1"/>
  <c r="H14" s="1"/>
  <c r="J14" s="1"/>
  <c r="J12" l="1"/>
  <c r="H12"/>
  <c r="I12"/>
  <c r="I13" s="1"/>
  <c r="D13"/>
  <c r="C13"/>
  <c r="H13" l="1"/>
  <c r="J13"/>
</calcChain>
</file>

<file path=xl/sharedStrings.xml><?xml version="1.0" encoding="utf-8"?>
<sst xmlns="http://schemas.openxmlformats.org/spreadsheetml/2006/main" count="17" uniqueCount="15">
  <si>
    <t>Notional</t>
  </si>
  <si>
    <t>R</t>
  </si>
  <si>
    <t>N</t>
  </si>
  <si>
    <t>Rcv Or Pay</t>
  </si>
  <si>
    <t>Sensi (kEUR/bp)</t>
  </si>
  <si>
    <t>Cvx (EUR/bp/bp)</t>
  </si>
  <si>
    <t>Net</t>
  </si>
  <si>
    <t>Coeff</t>
  </si>
  <si>
    <t>NPV (Mios EUR)</t>
  </si>
  <si>
    <t>ATM</t>
  </si>
  <si>
    <t>ATM+100bp</t>
  </si>
  <si>
    <t>NPV</t>
  </si>
  <si>
    <t>PNL</t>
  </si>
  <si>
    <t>Explain</t>
  </si>
  <si>
    <t>K</t>
  </si>
</sst>
</file>

<file path=xl/styles.xml><?xml version="1.0" encoding="utf-8"?>
<styleSheet xmlns="http://schemas.openxmlformats.org/spreadsheetml/2006/main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9" fontId="0" fillId="0" borderId="0" xfId="0" applyNumberFormat="1"/>
    <xf numFmtId="0" fontId="0" fillId="0" borderId="1" xfId="0" applyBorder="1"/>
    <xf numFmtId="0" fontId="2" fillId="0" borderId="1" xfId="0" applyFont="1" applyBorder="1"/>
    <xf numFmtId="43" fontId="0" fillId="0" borderId="1" xfId="0" applyNumberFormat="1" applyBorder="1"/>
    <xf numFmtId="164" fontId="0" fillId="0" borderId="1" xfId="0" applyNumberFormat="1" applyBorder="1"/>
    <xf numFmtId="2" fontId="0" fillId="0" borderId="1" xfId="0" applyNumberFormat="1" applyBorder="1"/>
    <xf numFmtId="164" fontId="0" fillId="0" borderId="1" xfId="1" applyNumberFormat="1" applyFont="1" applyBorder="1"/>
    <xf numFmtId="43" fontId="0" fillId="0" borderId="1" xfId="1" applyFont="1" applyBorder="1"/>
    <xf numFmtId="9" fontId="0" fillId="0" borderId="1" xfId="0" applyNumberFormat="1" applyBorder="1"/>
    <xf numFmtId="10" fontId="0" fillId="0" borderId="1" xfId="2" applyNumberFormat="1" applyFont="1" applyBorder="1"/>
    <xf numFmtId="10" fontId="0" fillId="0" borderId="1" xfId="0" applyNumberFormat="1" applyBorder="1"/>
    <xf numFmtId="0" fontId="2" fillId="0" borderId="1" xfId="0" applyFont="1" applyFill="1" applyBorder="1"/>
    <xf numFmtId="10" fontId="2" fillId="0" borderId="1" xfId="0" applyNumberFormat="1" applyFont="1" applyBorder="1" applyAlignment="1">
      <alignment horizontal="center"/>
    </xf>
    <xf numFmtId="43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2:J14"/>
  <sheetViews>
    <sheetView tabSelected="1" workbookViewId="0">
      <selection activeCell="H18" sqref="H18"/>
    </sheetView>
  </sheetViews>
  <sheetFormatPr baseColWidth="10" defaultRowHeight="14.4"/>
  <cols>
    <col min="2" max="2" width="14.6640625" bestFit="1" customWidth="1"/>
    <col min="3" max="3" width="16.21875" bestFit="1" customWidth="1"/>
    <col min="4" max="4" width="14.6640625" bestFit="1" customWidth="1"/>
    <col min="5" max="5" width="15.44140625" bestFit="1" customWidth="1"/>
    <col min="8" max="8" width="16.21875" bestFit="1" customWidth="1"/>
    <col min="10" max="10" width="11.6640625" bestFit="1" customWidth="1"/>
  </cols>
  <sheetData>
    <row r="2" spans="2:10">
      <c r="B2" s="3" t="s">
        <v>0</v>
      </c>
      <c r="C2" s="8">
        <v>100000000</v>
      </c>
    </row>
    <row r="3" spans="2:10">
      <c r="B3" s="3" t="s">
        <v>3</v>
      </c>
      <c r="C3" s="2">
        <v>1</v>
      </c>
    </row>
    <row r="4" spans="2:10">
      <c r="B4" s="3" t="s">
        <v>2</v>
      </c>
      <c r="C4" s="2">
        <v>20</v>
      </c>
    </row>
    <row r="5" spans="2:10">
      <c r="B5" s="3" t="s">
        <v>1</v>
      </c>
      <c r="C5" s="9">
        <v>0.02</v>
      </c>
    </row>
    <row r="6" spans="2:10">
      <c r="B6" s="3" t="s">
        <v>14</v>
      </c>
      <c r="C6" s="10">
        <f>Swap(C4,C5)+D6</f>
        <v>3.000000000000002E-2</v>
      </c>
      <c r="D6" s="1">
        <v>0.01</v>
      </c>
    </row>
    <row r="7" spans="2:10">
      <c r="B7" s="3" t="s">
        <v>9</v>
      </c>
      <c r="C7" s="11">
        <f>Swap(C4,C5)</f>
        <v>2.0000000000000018E-2</v>
      </c>
      <c r="D7" s="1"/>
    </row>
    <row r="9" spans="2:10">
      <c r="B9" s="2"/>
      <c r="C9" s="3" t="s">
        <v>8</v>
      </c>
      <c r="D9" s="3" t="s">
        <v>4</v>
      </c>
      <c r="E9" s="3" t="s">
        <v>5</v>
      </c>
      <c r="G9" s="12" t="s">
        <v>1</v>
      </c>
      <c r="H9" s="13">
        <v>1.4999999999999999E-2</v>
      </c>
      <c r="I9" s="13">
        <v>0.02</v>
      </c>
      <c r="J9" s="13">
        <v>2.5000000000000001E-2</v>
      </c>
    </row>
    <row r="10" spans="2:10">
      <c r="B10" s="3" t="s">
        <v>10</v>
      </c>
      <c r="C10" s="4">
        <f>NPVSwap(C3,C6,C4,C5)*C2/1000000</f>
        <v>16.351433344597115</v>
      </c>
      <c r="D10" s="5">
        <f>SensiSwap(C3,C6,C4,C5)*C2/10000</f>
        <v>-179293.91849169612</v>
      </c>
      <c r="E10" s="6">
        <f>CvxSwap(C3,C6,C4,C5)*C2/100000000</f>
        <v>337.55135380091991</v>
      </c>
      <c r="G10" s="3" t="str">
        <f>B10</f>
        <v>ATM+100bp</v>
      </c>
      <c r="H10" s="14">
        <f>NPVSwap($C$3,$C$6,$C$4,H9)*$C$2/1000000</f>
        <v>25.752958177623118</v>
      </c>
      <c r="I10" s="14">
        <f>NPVSwap($C$3,$C$6,$C$4,I9)*$C$2/1000000</f>
        <v>16.351433344597115</v>
      </c>
      <c r="J10" s="14">
        <f>NPVSwap($C$3,$C$6,$C$4,J9)*$C$2/1000000</f>
        <v>7.7945811428235876</v>
      </c>
    </row>
    <row r="11" spans="2:10">
      <c r="B11" s="3" t="s">
        <v>9</v>
      </c>
      <c r="C11" s="4">
        <f>NPVSwap(C3,C7,C4,C5)*C2/1000000</f>
        <v>0</v>
      </c>
      <c r="D11" s="7">
        <f>SensiSwap(C3,C7,C4,C5)*C2/10000</f>
        <v>-163514.3334459711</v>
      </c>
      <c r="E11" s="6">
        <f>CvxSwap(C3,C7,C4,C5)*C2/100000000</f>
        <v>315.59170091450028</v>
      </c>
      <c r="G11" s="3" t="str">
        <f>B11</f>
        <v>ATM</v>
      </c>
      <c r="H11" s="14">
        <f>NPVSwap($C$3,$C$7,$C$4,H9)*$C$2/1000000</f>
        <v>8.5843193925411683</v>
      </c>
      <c r="I11" s="14">
        <f>NPVSwap($C$3,$C$7,$C$4,I9)*$C$2/1000000</f>
        <v>0</v>
      </c>
      <c r="J11" s="14">
        <f>NPVSwap($C$3,$C$7,$C$4,J9)*$C$2/1000000</f>
        <v>-7.7945811428232394</v>
      </c>
    </row>
    <row r="12" spans="2:10">
      <c r="B12" s="3" t="s">
        <v>7</v>
      </c>
      <c r="C12" s="2"/>
      <c r="D12" s="8">
        <f>D10/D11</f>
        <v>1.0965027634775453</v>
      </c>
      <c r="E12" s="6"/>
      <c r="G12" s="3" t="s">
        <v>11</v>
      </c>
      <c r="H12" s="14">
        <f>H10-H11*$D$12</f>
        <v>16.340228241127846</v>
      </c>
      <c r="I12" s="14">
        <f>I10-I11*$D$12</f>
        <v>16.351433344597115</v>
      </c>
      <c r="J12" s="14">
        <f>J10-J11*$D$12</f>
        <v>16.341360906079231</v>
      </c>
    </row>
    <row r="13" spans="2:10">
      <c r="B13" s="3" t="s">
        <v>6</v>
      </c>
      <c r="C13" s="4">
        <f>C10-C11*D12</f>
        <v>16.351433344597115</v>
      </c>
      <c r="D13" s="4">
        <f>D10-D11*D12</f>
        <v>0</v>
      </c>
      <c r="E13" s="6">
        <f>E10-E11*D12</f>
        <v>-8.4958183824085722</v>
      </c>
      <c r="G13" s="3" t="s">
        <v>12</v>
      </c>
      <c r="H13" s="14">
        <f>(H12-$I$12)*1000000</f>
        <v>-11205.103469269063</v>
      </c>
      <c r="I13" s="14">
        <f>(I12-$I$12)*1000000</f>
        <v>0</v>
      </c>
      <c r="J13" s="14">
        <f>(J12-$I$12)*1000000</f>
        <v>-10072.438517884308</v>
      </c>
    </row>
    <row r="14" spans="2:10">
      <c r="G14" s="3" t="s">
        <v>13</v>
      </c>
      <c r="H14" s="14">
        <f>$E$13*((H9-$I$9))^2*$C$2/2</f>
        <v>-10619.77297801072</v>
      </c>
      <c r="I14" s="15"/>
      <c r="J14" s="14">
        <f>H14</f>
        <v>-10619.77297801072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2015-02-12T20:58:51Z</dcterms:created>
  <dcterms:modified xsi:type="dcterms:W3CDTF">2015-02-12T22:02:13Z</dcterms:modified>
</cp:coreProperties>
</file>